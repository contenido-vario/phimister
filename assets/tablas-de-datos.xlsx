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sites\terminar-cursos\excelb\ejercicios\"/>
    </mc:Choice>
  </mc:AlternateContent>
  <xr:revisionPtr revIDLastSave="0" documentId="13_ncr:1_{C4B2EA9B-2C35-46A9-9B98-5155DA502BB5}" xr6:coauthVersionLast="36" xr6:coauthVersionMax="36" xr10:uidLastSave="{00000000-0000-0000-0000-000000000000}"/>
  <bookViews>
    <workbookView xWindow="0" yWindow="0" windowWidth="23040" windowHeight="8460" xr2:uid="{048213C8-231F-458E-A5DC-E23B7233E070}"/>
  </bookViews>
  <sheets>
    <sheet name="DATOS" sheetId="2" r:id="rId1"/>
    <sheet name="EJERCICIO" sheetId="3" r:id="rId2"/>
    <sheet name="SOLUCION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3" l="1"/>
  <c r="C20" i="3"/>
  <c r="C19" i="3"/>
  <c r="I19" i="3" s="1"/>
  <c r="C18" i="3"/>
  <c r="I18" i="3" s="1"/>
  <c r="C17" i="3"/>
  <c r="I17" i="3" s="1"/>
  <c r="C16" i="3"/>
  <c r="I16" i="3" s="1"/>
  <c r="C15" i="3"/>
  <c r="I15" i="3" s="1"/>
  <c r="C14" i="3"/>
  <c r="I14" i="3" s="1"/>
  <c r="C13" i="3"/>
  <c r="C12" i="3"/>
  <c r="I12" i="3" s="1"/>
  <c r="C11" i="3"/>
  <c r="C10" i="3"/>
  <c r="I10" i="3" s="1"/>
  <c r="C9" i="3"/>
  <c r="I9" i="3" s="1"/>
  <c r="D12" i="3" l="1"/>
  <c r="H12" i="3" s="1"/>
  <c r="D14" i="3"/>
  <c r="H14" i="3" s="1"/>
  <c r="D15" i="3"/>
  <c r="H15" i="3" s="1"/>
  <c r="D16" i="3"/>
  <c r="H16" i="3" s="1"/>
  <c r="D17" i="3"/>
  <c r="H17" i="3" s="1"/>
  <c r="I20" i="3"/>
  <c r="C23" i="3"/>
  <c r="D20" i="3"/>
  <c r="H20" i="3" s="1"/>
  <c r="I11" i="3"/>
  <c r="D9" i="3"/>
  <c r="D10" i="3"/>
  <c r="I13" i="3"/>
  <c r="D11" i="3"/>
  <c r="H11" i="3" s="1"/>
  <c r="C22" i="3"/>
  <c r="E18" i="3" s="1"/>
  <c r="D19" i="3"/>
  <c r="H19" i="3" s="1"/>
  <c r="D13" i="3"/>
  <c r="H13" i="3" s="1"/>
  <c r="D18" i="3"/>
  <c r="H18" i="3" s="1"/>
  <c r="E10" i="3" l="1"/>
  <c r="E9" i="3"/>
  <c r="G9" i="3" s="1"/>
  <c r="G10" i="3" s="1"/>
  <c r="H10" i="3"/>
  <c r="H9" i="3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E15" i="3"/>
  <c r="E14" i="3"/>
  <c r="E12" i="3"/>
  <c r="E17" i="3"/>
  <c r="E16" i="3"/>
  <c r="E11" i="3"/>
  <c r="E19" i="3"/>
  <c r="E13" i="3"/>
  <c r="E20" i="3"/>
  <c r="G11" i="3" l="1"/>
  <c r="G12" i="3" s="1"/>
  <c r="G13" i="3" s="1"/>
  <c r="G14" i="3" s="1"/>
  <c r="G15" i="3" s="1"/>
  <c r="G16" i="3" s="1"/>
  <c r="G17" i="3" s="1"/>
  <c r="G18" i="3" s="1"/>
  <c r="G19" i="3" s="1"/>
  <c r="G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delatorrerita</author>
  </authors>
  <commentList>
    <comment ref="G9" authorId="0" shapeId="0" xr:uid="{61EB9DB8-83B3-4356-BF49-57AEA5E4AAD3}">
      <text>
        <r>
          <rPr>
            <b/>
            <sz val="9"/>
            <color indexed="81"/>
            <rFont val="Tahoma"/>
            <family val="2"/>
          </rPr>
          <t>DENSIDAD
POBLACIONAL</t>
        </r>
      </text>
    </comment>
  </commentList>
</comments>
</file>

<file path=xl/sharedStrings.xml><?xml version="1.0" encoding="utf-8"?>
<sst xmlns="http://schemas.openxmlformats.org/spreadsheetml/2006/main" count="208" uniqueCount="133">
  <si>
    <t>Población</t>
  </si>
  <si>
    <t>Capital</t>
  </si>
  <si>
    <t>Madrid</t>
  </si>
  <si>
    <t>Barcelona</t>
  </si>
  <si>
    <t>Valencia</t>
  </si>
  <si>
    <t>Sevilla</t>
  </si>
  <si>
    <t>Alicante</t>
  </si>
  <si>
    <t>Málaga</t>
  </si>
  <si>
    <t>Murcia</t>
  </si>
  <si>
    <t>Cádiz</t>
  </si>
  <si>
    <t>Baleares</t>
  </si>
  <si>
    <t>Palma</t>
  </si>
  <si>
    <t>Las Palmas</t>
  </si>
  <si>
    <t>Vizcaya</t>
  </si>
  <si>
    <t>Bilbao</t>
  </si>
  <si>
    <t>La Coruña</t>
  </si>
  <si>
    <t>Santa Cruz de Tenerife</t>
  </si>
  <si>
    <t>Asturias</t>
  </si>
  <si>
    <t>Oviedo</t>
  </si>
  <si>
    <t>Zaragoza</t>
  </si>
  <si>
    <t>Pontevedra</t>
  </si>
  <si>
    <t>Granada</t>
  </si>
  <si>
    <t>Tarragona</t>
  </si>
  <si>
    <t>Córdoba</t>
  </si>
  <si>
    <t>Gerona</t>
  </si>
  <si>
    <t>Almería</t>
  </si>
  <si>
    <t>Guipúzcoa</t>
  </si>
  <si>
    <t>San Sebastián</t>
  </si>
  <si>
    <t>Toledo</t>
  </si>
  <si>
    <t>Badajoz</t>
  </si>
  <si>
    <t>Navarra</t>
  </si>
  <si>
    <t>Pamplona</t>
  </si>
  <si>
    <t>Jaén</t>
  </si>
  <si>
    <t>Cantabria</t>
  </si>
  <si>
    <t>Santander</t>
  </si>
  <si>
    <t>Castellón</t>
  </si>
  <si>
    <t>Castellón de la Plana</t>
  </si>
  <si>
    <t>Huelva</t>
  </si>
  <si>
    <t>Valladolid</t>
  </si>
  <si>
    <t>Ciudad Real</t>
  </si>
  <si>
    <t>León</t>
  </si>
  <si>
    <t>Lérida</t>
  </si>
  <si>
    <t>Albacete</t>
  </si>
  <si>
    <t>Cáceres</t>
  </si>
  <si>
    <t>Burgos</t>
  </si>
  <si>
    <t>Álava</t>
  </si>
  <si>
    <t>Vitoria</t>
  </si>
  <si>
    <t>Salamanca</t>
  </si>
  <si>
    <t>Lugo</t>
  </si>
  <si>
    <t>La Rioja</t>
  </si>
  <si>
    <t>Logroño</t>
  </si>
  <si>
    <t>Orense</t>
  </si>
  <si>
    <t>Guadalajara</t>
  </si>
  <si>
    <t>Huesca</t>
  </si>
  <si>
    <t>Cuenca</t>
  </si>
  <si>
    <t>Zamora</t>
  </si>
  <si>
    <t>Ávila</t>
  </si>
  <si>
    <t>Palencia</t>
  </si>
  <si>
    <t>Segovia</t>
  </si>
  <si>
    <t>Teruel</t>
  </si>
  <si>
    <t>Soria</t>
  </si>
  <si>
    <t>Melilla</t>
  </si>
  <si>
    <t>Ceuta</t>
  </si>
  <si>
    <t> Comunidad de Madrid</t>
  </si>
  <si>
    <t> Cataluña</t>
  </si>
  <si>
    <t> Comunidad Valenciana</t>
  </si>
  <si>
    <t> Andalucía</t>
  </si>
  <si>
    <t> Región de Murcia</t>
  </si>
  <si>
    <t> Islas Baleares</t>
  </si>
  <si>
    <t> Canarias</t>
  </si>
  <si>
    <t> País Vasco</t>
  </si>
  <si>
    <t> Galicia</t>
  </si>
  <si>
    <t> Asturias</t>
  </si>
  <si>
    <t> Aragón</t>
  </si>
  <si>
    <t> Castilla-La Mancha</t>
  </si>
  <si>
    <t> Extremadura</t>
  </si>
  <si>
    <t> Navarra</t>
  </si>
  <si>
    <t> Cantabria</t>
  </si>
  <si>
    <t> Castilla y León</t>
  </si>
  <si>
    <t> La Rioja</t>
  </si>
  <si>
    <t> Melilla</t>
  </si>
  <si>
    <t> Ceuta</t>
  </si>
  <si>
    <t>% Población</t>
  </si>
  <si>
    <t>% superficie</t>
  </si>
  <si>
    <t>Comunidad</t>
  </si>
  <si>
    <t>Provincia</t>
  </si>
  <si>
    <r>
      <t>Hab_km</t>
    </r>
    <r>
      <rPr>
        <vertAlign val="superscript"/>
        <sz val="12"/>
        <color theme="1"/>
        <rFont val="Segoe UI"/>
        <family val="2"/>
      </rPr>
      <t>2</t>
    </r>
  </si>
  <si>
    <r>
      <t>Superficie_Km</t>
    </r>
    <r>
      <rPr>
        <vertAlign val="superscript"/>
        <sz val="12"/>
        <color theme="1"/>
        <rFont val="Segoe UI"/>
        <family val="2"/>
      </rPr>
      <t>2</t>
    </r>
  </si>
  <si>
    <t>TOTALES</t>
  </si>
  <si>
    <t>PROMEDIO</t>
  </si>
  <si>
    <t>MINIMO</t>
  </si>
  <si>
    <t>MAXIMO</t>
  </si>
  <si>
    <t>Santa Cruz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</si>
  <si>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</si>
  <si>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</si>
  <si>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</si>
  <si>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</si>
  <si>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</si>
  <si>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</si>
  <si>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</si>
  <si>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</si>
  <si>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</si>
  <si>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</si>
  <si>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</si>
  <si>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</si>
  <si>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NUMERO DE PROVINCIAS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</si>
  <si>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</si>
  <si>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</si>
  <si>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</si>
  <si>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</si>
  <si>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</si>
  <si>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</si>
  <si>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</si>
  <si>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</si>
  <si>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</si>
  <si>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</si>
  <si>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</si>
  <si>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</si>
  <si>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</si>
  <si>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AÑO</t>
  </si>
  <si>
    <t>% VENTAS MES</t>
  </si>
  <si>
    <t>VENTAS ACUMULADAS</t>
  </si>
  <si>
    <t>% ACUMULADO</t>
  </si>
  <si>
    <t>UNIDADES VENDIDAS AÑO</t>
  </si>
  <si>
    <t>UNIDADES VENDIDAS</t>
  </si>
  <si>
    <t>TOTAL POBLACIÓN</t>
  </si>
  <si>
    <t>PROMEDIO AÑO</t>
  </si>
  <si>
    <t>VENTAS EUROS</t>
  </si>
  <si>
    <t>PRECIO DEL PRODUCTO</t>
  </si>
  <si>
    <t>VENTAS / PERSONA</t>
  </si>
  <si>
    <t>UNIDADES / PERSONA</t>
  </si>
  <si>
    <t>RESUMEN DE VENTAS</t>
  </si>
  <si>
    <t>DATOS ESPAÑA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</si>
</sst>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#,##0.00\ &quot;€&quot;;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_ ;\-#,##0\ "/>
    <numFmt numFmtId="165" formatCode="#,##0.00\ &quot;€&quot;"/>
    <numFmt numFmtId="166" formatCode="#,##0\ &quot;€&quot;"/>
    <numFmt numFmtId="167" formatCode="#,##0.0"/>
  </numFmts>
  <fonts count="8" x14ac:knownFonts="1"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b/>
      <sz val="12"/>
      <color theme="1"/>
      <name val="Segoe UI"/>
      <family val="2"/>
    </font>
    <font>
      <vertAlign val="superscript"/>
      <sz val="12"/>
      <color theme="1"/>
      <name val="Segoe UI"/>
      <family val="2"/>
    </font>
    <font>
      <b/>
      <sz val="9"/>
      <color indexed="81"/>
      <name val="Tahoma"/>
      <family val="2"/>
    </font>
    <font>
      <sz val="28"/>
      <color theme="4" tint="0.39997558519241921"/>
      <name val="Gill Sans Ultra Bold Condensed"/>
      <family val="2"/>
    </font>
    <font>
      <b/>
      <sz val="1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horizontal="right"/>
    </xf>
    <xf numFmtId="164" fontId="0" fillId="0" borderId="0" xfId="1" applyNumberFormat="1" applyFont="1" applyAlignment="1">
      <alignment horizontal="center"/>
    </xf>
    <xf numFmtId="10" fontId="0" fillId="0" borderId="0" xfId="3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/>
    <xf numFmtId="164" fontId="2" fillId="0" borderId="0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0" fillId="0" borderId="3" xfId="0" applyFill="1" applyBorder="1" applyAlignment="1">
      <alignment horizontal="right" indent="1"/>
    </xf>
    <xf numFmtId="164" fontId="2" fillId="0" borderId="7" xfId="1" applyNumberFormat="1" applyFon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4" fontId="2" fillId="0" borderId="9" xfId="1" applyNumberFormat="1" applyFont="1" applyFill="1" applyBorder="1" applyAlignment="1">
      <alignment horizontal="center"/>
    </xf>
    <xf numFmtId="164" fontId="2" fillId="0" borderId="10" xfId="1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2" xfId="0" applyFill="1" applyBorder="1" applyAlignment="1">
      <alignment horizontal="right" indent="1"/>
    </xf>
    <xf numFmtId="0" fontId="0" fillId="0" borderId="13" xfId="0" applyFill="1" applyBorder="1" applyAlignment="1">
      <alignment horizontal="right" indent="1"/>
    </xf>
    <xf numFmtId="0" fontId="0" fillId="0" borderId="14" xfId="0" applyFill="1" applyBorder="1" applyAlignment="1">
      <alignment horizontal="right" indent="1"/>
    </xf>
    <xf numFmtId="0" fontId="0" fillId="4" borderId="2" xfId="0" applyFill="1" applyBorder="1" applyAlignment="1">
      <alignment horizontal="right" indent="1"/>
    </xf>
    <xf numFmtId="164" fontId="2" fillId="4" borderId="4" xfId="1" applyNumberFormat="1" applyFont="1" applyFill="1" applyBorder="1" applyAlignment="1">
      <alignment horizontal="center"/>
    </xf>
    <xf numFmtId="10" fontId="0" fillId="4" borderId="5" xfId="3" applyNumberFormat="1" applyFont="1" applyFill="1" applyBorder="1" applyAlignment="1">
      <alignment horizontal="center"/>
    </xf>
    <xf numFmtId="164" fontId="2" fillId="4" borderId="5" xfId="1" applyNumberFormat="1" applyFont="1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0" fontId="0" fillId="4" borderId="4" xfId="0" applyFill="1" applyBorder="1"/>
    <xf numFmtId="0" fontId="0" fillId="0" borderId="7" xfId="0" applyBorder="1"/>
    <xf numFmtId="0" fontId="0" fillId="0" borderId="9" xfId="0" applyBorder="1"/>
    <xf numFmtId="10" fontId="0" fillId="4" borderId="6" xfId="3" applyNumberFormat="1" applyFont="1" applyFill="1" applyBorder="1" applyAlignment="1">
      <alignment horizontal="center"/>
    </xf>
    <xf numFmtId="164" fontId="2" fillId="0" borderId="8" xfId="1" applyNumberFormat="1" applyFont="1" applyFill="1" applyBorder="1" applyAlignment="1">
      <alignment horizontal="center"/>
    </xf>
    <xf numFmtId="164" fontId="2" fillId="0" borderId="11" xfId="1" applyNumberFormat="1" applyFont="1" applyFill="1" applyBorder="1" applyAlignment="1">
      <alignment horizontal="center"/>
    </xf>
    <xf numFmtId="0" fontId="7" fillId="0" borderId="0" xfId="0" applyFont="1"/>
    <xf numFmtId="0" fontId="0" fillId="0" borderId="0" xfId="0" applyAlignment="1" applyProtection="1">
      <alignment horizontal="left" indent="1"/>
      <protection hidden="1"/>
    </xf>
    <xf numFmtId="0" fontId="0" fillId="0" borderId="0" xfId="0" applyProtection="1">
      <protection hidden="1"/>
    </xf>
    <xf numFmtId="7" fontId="3" fillId="0" borderId="2" xfId="2" applyNumberFormat="1" applyFont="1" applyBorder="1" applyAlignment="1" applyProtection="1">
      <alignment horizontal="center"/>
      <protection hidden="1"/>
    </xf>
    <xf numFmtId="0" fontId="2" fillId="2" borderId="4" xfId="0" applyFont="1" applyFill="1" applyBorder="1" applyAlignment="1" applyProtection="1">
      <alignment horizontal="center"/>
      <protection hidden="1"/>
    </xf>
    <xf numFmtId="0" fontId="2" fillId="2" borderId="5" xfId="0" applyFont="1" applyFill="1" applyBorder="1" applyAlignment="1" applyProtection="1">
      <alignment horizontal="center"/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3" fillId="0" borderId="7" xfId="0" applyFont="1" applyBorder="1" applyAlignment="1" applyProtection="1">
      <alignment horizontal="left" indent="1"/>
      <protection hidden="1"/>
    </xf>
    <xf numFmtId="3" fontId="0" fillId="5" borderId="1" xfId="0" applyNumberFormat="1" applyFill="1" applyBorder="1" applyAlignment="1" applyProtection="1">
      <alignment horizontal="right" indent="2"/>
      <protection hidden="1"/>
    </xf>
    <xf numFmtId="166" fontId="0" fillId="0" borderId="1" xfId="0" applyNumberFormat="1" applyBorder="1" applyAlignment="1" applyProtection="1">
      <alignment horizontal="right" indent="2"/>
      <protection hidden="1"/>
    </xf>
    <xf numFmtId="10" fontId="0" fillId="3" borderId="1" xfId="1" applyNumberFormat="1" applyFont="1" applyFill="1" applyBorder="1" applyAlignment="1" applyProtection="1">
      <alignment horizontal="center"/>
      <protection hidden="1"/>
    </xf>
    <xf numFmtId="165" fontId="0" fillId="0" borderId="1" xfId="0" applyNumberFormat="1" applyBorder="1" applyAlignment="1" applyProtection="1">
      <alignment horizontal="right" indent="4"/>
      <protection hidden="1"/>
    </xf>
    <xf numFmtId="167" fontId="0" fillId="5" borderId="8" xfId="0" applyNumberFormat="1" applyFill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left" indent="1"/>
      <protection hidden="1"/>
    </xf>
    <xf numFmtId="3" fontId="0" fillId="5" borderId="10" xfId="0" applyNumberFormat="1" applyFill="1" applyBorder="1" applyAlignment="1" applyProtection="1">
      <alignment horizontal="right" indent="2"/>
      <protection hidden="1"/>
    </xf>
    <xf numFmtId="166" fontId="0" fillId="0" borderId="10" xfId="0" applyNumberFormat="1" applyBorder="1" applyAlignment="1" applyProtection="1">
      <alignment horizontal="right" indent="2"/>
      <protection hidden="1"/>
    </xf>
    <xf numFmtId="10" fontId="0" fillId="3" borderId="10" xfId="1" applyNumberFormat="1" applyFont="1" applyFill="1" applyBorder="1" applyAlignment="1" applyProtection="1">
      <alignment horizontal="center"/>
      <protection hidden="1"/>
    </xf>
    <xf numFmtId="165" fontId="0" fillId="0" borderId="10" xfId="0" applyNumberFormat="1" applyBorder="1" applyAlignment="1" applyProtection="1">
      <alignment horizontal="right" indent="4"/>
      <protection hidden="1"/>
    </xf>
    <xf numFmtId="167" fontId="0" fillId="5" borderId="11" xfId="0" applyNumberFormat="1" applyFill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left" indent="1"/>
      <protection hidden="1"/>
    </xf>
    <xf numFmtId="3" fontId="0" fillId="0" borderId="2" xfId="0" applyNumberFormat="1" applyBorder="1" applyAlignment="1" applyProtection="1">
      <alignment horizontal="right" indent="2"/>
      <protection hidden="1"/>
    </xf>
    <xf numFmtId="3" fontId="0" fillId="0" borderId="0" xfId="0" applyNumberFormat="1" applyBorder="1" applyAlignment="1" applyProtection="1">
      <alignment horizontal="right" indent="2"/>
      <protection hidden="1"/>
    </xf>
    <xf numFmtId="0" fontId="3" fillId="0" borderId="15" xfId="0" applyFont="1" applyFill="1" applyBorder="1" applyAlignment="1" applyProtection="1">
      <alignment horizontal="left" indent="1"/>
      <protection hidden="1"/>
    </xf>
    <xf numFmtId="0" fontId="6" fillId="0" borderId="0" xfId="0" applyFont="1" applyAlignment="1" applyProtection="1">
      <alignment horizontal="left"/>
      <protection hidden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3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4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4" formatCode="#,##0_ ;\-#,##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937260</xdr:colOff>
      <xdr:row>0</xdr:row>
      <xdr:rowOff>0</xdr:rowOff>
    </xdr:from>
    <xdr:ext cx="9105900" cy="12039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FB3984E-947F-4C38-871C-32BD8F1BFEBB}"/>
            </a:ext>
          </a:extLst>
        </xdr:cNvPr>
        <xdr:cNvSpPr txBox="1"/>
      </xdr:nvSpPr>
      <xdr:spPr>
        <a:xfrm>
          <a:off x="4770120" y="0"/>
          <a:ext cx="9105900" cy="12039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1. Completa las fórmulas pertinentes en la hoja </a:t>
          </a:r>
          <a:r>
            <a:rPr lang="es-ES" sz="1200" b="1">
              <a:latin typeface="Segoe UI" panose="020B0502040204020203" pitchFamily="34" charset="0"/>
              <a:cs typeface="Segoe UI" panose="020B0502040204020203" pitchFamily="34" charset="0"/>
            </a:rPr>
            <a:t>DATOS</a:t>
          </a:r>
          <a:b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2. Duplica la Hoja </a:t>
          </a:r>
          <a:r>
            <a:rPr lang="es-ES" sz="1200" b="1">
              <a:latin typeface="Segoe UI" panose="020B0502040204020203" pitchFamily="34" charset="0"/>
              <a:cs typeface="Segoe UI" panose="020B0502040204020203" pitchFamily="34" charset="0"/>
            </a:rPr>
            <a:t>DATOS</a:t>
          </a:r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. Revisa el nombre de la nueva</a:t>
          </a:r>
          <a: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1" baseline="0">
              <a:latin typeface="Segoe UI" panose="020B0502040204020203" pitchFamily="34" charset="0"/>
              <a:cs typeface="Segoe UI" panose="020B0502040204020203" pitchFamily="34" charset="0"/>
            </a:rPr>
            <a:t>Tabla</a:t>
          </a:r>
          <a:endParaRPr lang="es-ES" sz="1200" b="1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2. Convierte la Tabla </a:t>
          </a:r>
          <a:r>
            <a:rPr lang="es-ES" sz="1200" b="1">
              <a:latin typeface="Segoe UI" panose="020B0502040204020203" pitchFamily="34" charset="0"/>
              <a:cs typeface="Segoe UI" panose="020B0502040204020203" pitchFamily="34" charset="0"/>
            </a:rPr>
            <a:t>Spain</a:t>
          </a:r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 de</a:t>
          </a:r>
          <a: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  <a:t> la Hoja Duplicada </a:t>
          </a:r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en Rango. Observa lo que sucede</a:t>
          </a:r>
        </a:p>
        <a:p>
          <a:r>
            <a:rPr lang="es-ES" sz="1200">
              <a:latin typeface="Segoe UI" panose="020B0502040204020203" pitchFamily="34" charset="0"/>
              <a:cs typeface="Segoe UI" panose="020B0502040204020203" pitchFamily="34" charset="0"/>
            </a:rPr>
            <a:t>3. Crea las fórmulas</a:t>
          </a:r>
          <a: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  <a:t> en la Hoja de Cálculo </a:t>
          </a:r>
          <a:r>
            <a:rPr lang="es-ES" sz="1200" b="1" baseline="0">
              <a:latin typeface="Segoe UI" panose="020B0502040204020203" pitchFamily="34" charset="0"/>
              <a:cs typeface="Segoe UI" panose="020B0502040204020203" pitchFamily="34" charset="0"/>
            </a:rPr>
            <a:t>Solución</a:t>
          </a:r>
          <a: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  <a:t>, ( </a:t>
          </a:r>
          <a:r>
            <a:rPr lang="es-ES" sz="1200" i="1" baseline="0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el </a:t>
          </a:r>
          <a:r>
            <a:rPr lang="es-ES" sz="1200" i="0" baseline="0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PRECIO DEL PRODUCTO </a:t>
          </a:r>
          <a:r>
            <a:rPr lang="es-ES" sz="1200" i="1" baseline="0">
              <a:solidFill>
                <a:srgbClr val="FF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es el único dato manual </a:t>
          </a:r>
          <a: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  <a:t>), </a:t>
          </a:r>
          <a:b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es-ES" sz="1200" baseline="0">
              <a:latin typeface="Segoe UI" panose="020B0502040204020203" pitchFamily="34" charset="0"/>
              <a:cs typeface="Segoe UI" panose="020B0502040204020203" pitchFamily="34" charset="0"/>
            </a:rPr>
            <a:t>    vinculando para obtener la información, con los resultados de la hoja DATOS para replicar esta hoja.</a:t>
          </a:r>
        </a:p>
      </xdr:txBody>
    </xdr:sp>
    <xdr:clientData/>
  </xdr:oneCellAnchor>
  <xdr:twoCellAnchor editAs="oneCell">
    <xdr:from>
      <xdr:col>7</xdr:col>
      <xdr:colOff>1638300</xdr:colOff>
      <xdr:row>0</xdr:row>
      <xdr:rowOff>0</xdr:rowOff>
    </xdr:from>
    <xdr:to>
      <xdr:col>8</xdr:col>
      <xdr:colOff>1813728</xdr:colOff>
      <xdr:row>1</xdr:row>
      <xdr:rowOff>22883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15A632-4A0F-48A1-AE1D-C2E09F5B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2440" y="0"/>
          <a:ext cx="1943268" cy="2667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90D2F-72CB-4D05-9780-26D70D07B4DC}" name="Spain" displayName="Spain" ref="A9:U61" headerRowDxfId="22">
  <autoFilter ref="A9:U61" xr:uid="{FE9D83D9-77BA-4195-8F70-7CFAA3AFCD90}"/>
  <sortState ref="A10:H61">
    <sortCondition ref="A9:A61"/>
  </sortState>
  <tableColumns count="21">
    <tableColumn id="1" xr3:uid="{E5264851-AF7B-4960-B8CD-100AC74A59AC}" name="Comunidad" totalsRowLabel="Total"/>
    <tableColumn id="2" xr3:uid="{6227C917-C06F-408D-B6AB-E4A48BD90609}" name="Provincia"/>
    <tableColumn id="9" xr3:uid="{2551D69C-E371-4FA4-9B20-0F787281AD84}" name="Población" totalsRowFunction="sum" dataDxfId="21" totalsRowDxfId="20" dataCellStyle="Millares"/>
    <tableColumn id="10" xr3:uid="{D9354060-9780-45A9-ADF6-42A0F24F9465}" name="% Población" dataDxfId="19" totalsRowDxfId="18" dataCellStyle="Porcentaje"/>
    <tableColumn id="6" xr3:uid="{59E0E530-F210-4B25-ADC7-993EB37F7C47}" name="Superficie_Km2" dataDxfId="17" totalsRowDxfId="16" dataCellStyle="Millares"/>
    <tableColumn id="7" xr3:uid="{FB5DC590-E893-443F-BE93-CCE585E21B1E}" name="% superficie" dataDxfId="15" totalsRowDxfId="14"/>
    <tableColumn id="11" xr3:uid="{4F6B73CB-1834-44AB-AEF1-7FCE5F2F7B49}" name="Hab_km2" dataDxfId="13" totalsRowDxfId="12"/>
    <tableColumn id="8" xr3:uid="{9657B69D-9E38-430B-B63A-D457815624E2}" name="Capital" totalsRowFunction="count"/>
    <tableColumn id="12" xr3:uid="{6AA973D6-9236-4A2D-A42C-99A6CF849343}" name="UNIDADES VENDIDAS AÑO"/>
    <tableColumn id="13" xr3:uid="{4B546B1E-0669-4362-8D76-B3C4201DEDB5}" name="ENE" dataDxfId="11"/>
    <tableColumn id="14" xr3:uid="{86F57F21-05D7-4F80-B5A4-25335AE1B2E1}" name="FEB" dataDxfId="10"/>
    <tableColumn id="15" xr3:uid="{B84DF9AA-7C53-4F14-ADD4-2DE7E934092E}" name="MAR" dataDxfId="9"/>
    <tableColumn id="16" xr3:uid="{EC28C90F-5497-47DA-8BAC-D53034585DC7}" name="ABR" dataDxfId="8"/>
    <tableColumn id="17" xr3:uid="{F9A777FB-D3C2-4651-B3F6-B59CA47D6AC2}" name="MAY" dataDxfId="7"/>
    <tableColumn id="18" xr3:uid="{34399002-698A-425E-908D-CCF27028F0C5}" name="JUN" dataDxfId="6"/>
    <tableColumn id="19" xr3:uid="{E7ECC037-5E0A-4C2C-9995-F63129DB595C}" name="JUL" dataDxfId="5"/>
    <tableColumn id="20" xr3:uid="{3E600034-2B1C-4C7B-8C58-553BEA40DF2A}" name="AGO" dataDxfId="4"/>
    <tableColumn id="21" xr3:uid="{631F6980-C902-4D8B-B5A0-91798B34219F}" name="SEP" dataDxfId="3"/>
    <tableColumn id="22" xr3:uid="{FD20887F-F7E1-4E22-B4B8-058741FC4F56}" name="OCT" dataDxfId="2"/>
    <tableColumn id="23" xr3:uid="{50DC0531-9C1A-41D0-AC25-BDCD0A120D06}" name="NOV" dataDxfId="1"/>
    <tableColumn id="24" xr3:uid="{5EF21BA1-8C49-431F-AD23-49B9CF83381E}" name="D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CF87-770F-4D9F-9072-0B7F862ADD14}">
  <dimension ref="A1:U61"/>
  <sheetViews>
    <sheetView showGridLines="0"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6" sqref="C16"/>
    </sheetView>
  </sheetViews>
  <sheetFormatPr baseColWidth="10" defaultRowHeight="19.2" x14ac:dyDescent="0.45"/>
  <cols>
    <col min="1" max="1" width="25.26953125" customWidth="1"/>
    <col min="2" max="2" width="19.90625" customWidth="1"/>
    <col min="3" max="3" width="14.54296875" style="4" customWidth="1"/>
    <col min="4" max="4" width="15" style="5" customWidth="1"/>
    <col min="5" max="5" width="19.1796875" style="3" bestFit="1" customWidth="1"/>
    <col min="6" max="6" width="15.26953125" style="1" customWidth="1"/>
    <col min="7" max="7" width="15" style="6" customWidth="1"/>
    <col min="8" max="8" width="17.6328125" customWidth="1"/>
    <col min="9" max="9" width="28.26953125" bestFit="1" customWidth="1"/>
    <col min="10" max="21" width="10.90625" style="6"/>
  </cols>
  <sheetData>
    <row r="1" spans="1:21" ht="24.6" x14ac:dyDescent="0.55000000000000004">
      <c r="A1" s="35" t="s">
        <v>132</v>
      </c>
    </row>
    <row r="2" spans="1:21" ht="19.8" thickBot="1" x14ac:dyDescent="0.5"/>
    <row r="3" spans="1:21" x14ac:dyDescent="0.45">
      <c r="B3" s="20" t="s">
        <v>88</v>
      </c>
      <c r="C3" s="24"/>
      <c r="D3" s="25"/>
      <c r="E3" s="26"/>
      <c r="F3" s="25"/>
      <c r="G3" s="32"/>
      <c r="I3" s="29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</row>
    <row r="4" spans="1:21" x14ac:dyDescent="0.45">
      <c r="A4" s="7"/>
      <c r="B4" s="21" t="s">
        <v>89</v>
      </c>
      <c r="C4" s="14"/>
      <c r="D4" s="9"/>
      <c r="E4" s="9"/>
      <c r="F4" s="9"/>
      <c r="G4" s="33"/>
      <c r="I4" s="3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5"/>
    </row>
    <row r="5" spans="1:21" x14ac:dyDescent="0.45">
      <c r="A5" s="7"/>
      <c r="B5" s="21" t="s">
        <v>90</v>
      </c>
      <c r="C5" s="14"/>
      <c r="D5" s="9"/>
      <c r="E5" s="9"/>
      <c r="F5" s="9"/>
      <c r="G5" s="33"/>
      <c r="I5" s="3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5"/>
    </row>
    <row r="6" spans="1:21" ht="19.8" thickBot="1" x14ac:dyDescent="0.5">
      <c r="A6" s="7"/>
      <c r="B6" s="22" t="s">
        <v>91</v>
      </c>
      <c r="C6" s="16"/>
      <c r="D6" s="17"/>
      <c r="E6" s="17"/>
      <c r="F6" s="17"/>
      <c r="G6" s="34"/>
      <c r="I6" s="3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s="11" customFormat="1" ht="19.8" thickBot="1" x14ac:dyDescent="0.5">
      <c r="A7" s="13" t="s">
        <v>105</v>
      </c>
      <c r="B7" s="23"/>
      <c r="C7" s="8"/>
      <c r="D7" s="8"/>
      <c r="E7" s="8"/>
      <c r="F7" s="8"/>
      <c r="G7" s="8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9" spans="1:21" s="1" customFormat="1" ht="19.8" x14ac:dyDescent="0.45">
      <c r="A9" s="1" t="s">
        <v>84</v>
      </c>
      <c r="B9" s="1" t="s">
        <v>85</v>
      </c>
      <c r="C9" s="4" t="s">
        <v>0</v>
      </c>
      <c r="D9" s="5" t="s">
        <v>82</v>
      </c>
      <c r="E9" s="2" t="s">
        <v>87</v>
      </c>
      <c r="F9" s="1" t="s">
        <v>83</v>
      </c>
      <c r="G9" s="6" t="s">
        <v>86</v>
      </c>
      <c r="H9" s="1" t="s">
        <v>1</v>
      </c>
      <c r="I9" s="1" t="s">
        <v>123</v>
      </c>
      <c r="J9" s="6" t="s">
        <v>93</v>
      </c>
      <c r="K9" s="6" t="s">
        <v>94</v>
      </c>
      <c r="L9" s="6" t="s">
        <v>95</v>
      </c>
      <c r="M9" s="6" t="s">
        <v>96</v>
      </c>
      <c r="N9" s="6" t="s">
        <v>97</v>
      </c>
      <c r="O9" s="6" t="s">
        <v>98</v>
      </c>
      <c r="P9" s="6" t="s">
        <v>99</v>
      </c>
      <c r="Q9" s="6" t="s">
        <v>100</v>
      </c>
      <c r="R9" s="6" t="s">
        <v>101</v>
      </c>
      <c r="S9" s="6" t="s">
        <v>102</v>
      </c>
      <c r="T9" s="6" t="s">
        <v>103</v>
      </c>
      <c r="U9" s="6" t="s">
        <v>104</v>
      </c>
    </row>
    <row r="10" spans="1:21" x14ac:dyDescent="0.45">
      <c r="A10" t="s">
        <v>66</v>
      </c>
      <c r="B10" t="s">
        <v>5</v>
      </c>
      <c r="C10" s="4">
        <v>1960257</v>
      </c>
      <c r="E10" s="4">
        <v>14036</v>
      </c>
      <c r="F10" s="5"/>
      <c r="H10" t="s">
        <v>5</v>
      </c>
      <c r="J10" s="6">
        <v>1483600</v>
      </c>
      <c r="K10" s="6">
        <v>4212000</v>
      </c>
      <c r="L10" s="6">
        <v>1594400</v>
      </c>
      <c r="M10" s="6">
        <v>3128600</v>
      </c>
      <c r="N10" s="6">
        <v>3945300</v>
      </c>
      <c r="O10" s="6">
        <v>1188200</v>
      </c>
      <c r="P10" s="6">
        <v>4262800</v>
      </c>
      <c r="Q10" s="6">
        <v>1778400</v>
      </c>
      <c r="R10" s="6">
        <v>3058500</v>
      </c>
      <c r="S10" s="6">
        <v>3102400</v>
      </c>
      <c r="T10" s="6">
        <v>1579400</v>
      </c>
      <c r="U10" s="6">
        <v>13743840</v>
      </c>
    </row>
    <row r="11" spans="1:21" x14ac:dyDescent="0.45">
      <c r="A11" t="s">
        <v>66</v>
      </c>
      <c r="B11" t="s">
        <v>7</v>
      </c>
      <c r="C11" s="4">
        <v>1711693</v>
      </c>
      <c r="E11" s="4">
        <v>7306</v>
      </c>
      <c r="F11" s="5"/>
      <c r="H11" t="s">
        <v>7</v>
      </c>
      <c r="J11" s="6">
        <v>1085600</v>
      </c>
      <c r="K11" s="6">
        <v>2367100</v>
      </c>
      <c r="L11" s="6">
        <v>4783100</v>
      </c>
      <c r="M11" s="6">
        <v>5145000</v>
      </c>
      <c r="N11" s="6">
        <v>1312400</v>
      </c>
      <c r="O11" s="6">
        <v>1431900</v>
      </c>
      <c r="P11" s="6">
        <v>1205100</v>
      </c>
      <c r="Q11" s="6">
        <v>1725400</v>
      </c>
      <c r="R11" s="6">
        <v>4412500</v>
      </c>
      <c r="S11" s="6">
        <v>4254500</v>
      </c>
      <c r="T11" s="6">
        <v>1610500</v>
      </c>
      <c r="U11" s="6">
        <v>15718560</v>
      </c>
    </row>
    <row r="12" spans="1:21" x14ac:dyDescent="0.45">
      <c r="A12" t="s">
        <v>66</v>
      </c>
      <c r="B12" t="s">
        <v>9</v>
      </c>
      <c r="C12" s="4">
        <v>1259339</v>
      </c>
      <c r="E12" s="4">
        <v>7440</v>
      </c>
      <c r="F12" s="5"/>
      <c r="H12" t="s">
        <v>9</v>
      </c>
      <c r="J12" s="6">
        <v>4948600</v>
      </c>
      <c r="K12" s="6">
        <v>4955100</v>
      </c>
      <c r="L12" s="6">
        <v>4533700</v>
      </c>
      <c r="M12" s="6">
        <v>4703900</v>
      </c>
      <c r="N12" s="6">
        <v>3868000</v>
      </c>
      <c r="O12" s="6">
        <v>3579000</v>
      </c>
      <c r="P12" s="6">
        <v>3710500</v>
      </c>
      <c r="Q12" s="6">
        <v>4876000</v>
      </c>
      <c r="R12" s="6">
        <v>3018700</v>
      </c>
      <c r="S12" s="6">
        <v>3805500</v>
      </c>
      <c r="T12" s="6">
        <v>1039100</v>
      </c>
      <c r="U12" s="6">
        <v>6731010</v>
      </c>
    </row>
    <row r="13" spans="1:21" x14ac:dyDescent="0.45">
      <c r="A13" t="s">
        <v>66</v>
      </c>
      <c r="B13" t="s">
        <v>21</v>
      </c>
      <c r="C13" s="4">
        <v>929968</v>
      </c>
      <c r="E13" s="4">
        <v>12647</v>
      </c>
      <c r="F13" s="5"/>
      <c r="H13" t="s">
        <v>21</v>
      </c>
      <c r="J13" s="6">
        <v>4099700</v>
      </c>
      <c r="K13" s="6">
        <v>2951200</v>
      </c>
      <c r="L13" s="6">
        <v>3940100</v>
      </c>
      <c r="M13" s="6">
        <v>3425900</v>
      </c>
      <c r="N13" s="6">
        <v>1148600</v>
      </c>
      <c r="O13" s="6">
        <v>4509300</v>
      </c>
      <c r="P13" s="6">
        <v>2581700</v>
      </c>
      <c r="Q13" s="6">
        <v>2861300</v>
      </c>
      <c r="R13" s="6">
        <v>3085100</v>
      </c>
      <c r="S13" s="6">
        <v>1682400</v>
      </c>
      <c r="T13" s="6">
        <v>3698000</v>
      </c>
      <c r="U13" s="6">
        <v>4004220.0000000009</v>
      </c>
    </row>
    <row r="14" spans="1:21" x14ac:dyDescent="0.45">
      <c r="A14" t="s">
        <v>66</v>
      </c>
      <c r="B14" t="s">
        <v>23</v>
      </c>
      <c r="C14" s="4">
        <v>777414</v>
      </c>
      <c r="E14" s="4">
        <v>13771</v>
      </c>
      <c r="F14" s="5"/>
      <c r="H14" t="s">
        <v>23</v>
      </c>
      <c r="J14" s="6">
        <v>1470600</v>
      </c>
      <c r="K14" s="6">
        <v>3207200</v>
      </c>
      <c r="L14" s="6">
        <v>1206100</v>
      </c>
      <c r="M14" s="6">
        <v>1579500</v>
      </c>
      <c r="N14" s="6">
        <v>4283700</v>
      </c>
      <c r="O14" s="6">
        <v>4966700</v>
      </c>
      <c r="P14" s="6">
        <v>2128000</v>
      </c>
      <c r="Q14" s="6">
        <v>3685900</v>
      </c>
      <c r="R14" s="6">
        <v>1813100</v>
      </c>
      <c r="S14" s="6">
        <v>4041800</v>
      </c>
      <c r="T14" s="6">
        <v>4536400</v>
      </c>
      <c r="U14" s="6">
        <v>7144170</v>
      </c>
    </row>
    <row r="15" spans="1:21" x14ac:dyDescent="0.45">
      <c r="A15" t="s">
        <v>66</v>
      </c>
      <c r="B15" t="s">
        <v>25</v>
      </c>
      <c r="C15" s="4">
        <v>723899</v>
      </c>
      <c r="E15" s="4">
        <v>8775</v>
      </c>
      <c r="F15" s="5"/>
      <c r="H15" t="s">
        <v>25</v>
      </c>
      <c r="J15" s="6">
        <v>1761700</v>
      </c>
      <c r="K15" s="6">
        <v>4910500</v>
      </c>
      <c r="L15" s="6">
        <v>4214600</v>
      </c>
      <c r="M15" s="6">
        <v>1378400</v>
      </c>
      <c r="N15" s="6">
        <v>1877000</v>
      </c>
      <c r="O15" s="6">
        <v>3615100</v>
      </c>
      <c r="P15" s="6">
        <v>2171600</v>
      </c>
      <c r="Q15" s="6">
        <v>2595000</v>
      </c>
      <c r="R15" s="6">
        <v>2447400</v>
      </c>
      <c r="S15" s="6">
        <v>4379300</v>
      </c>
      <c r="T15" s="6">
        <v>1194100</v>
      </c>
      <c r="U15" s="6">
        <v>13124100</v>
      </c>
    </row>
    <row r="16" spans="1:21" x14ac:dyDescent="0.45">
      <c r="A16" t="s">
        <v>66</v>
      </c>
      <c r="B16" t="s">
        <v>32</v>
      </c>
      <c r="C16" s="4">
        <v>622617</v>
      </c>
      <c r="E16" s="4">
        <v>13496</v>
      </c>
      <c r="F16" s="5"/>
      <c r="H16" t="s">
        <v>32</v>
      </c>
      <c r="J16" s="6">
        <v>2524900</v>
      </c>
      <c r="K16" s="6">
        <v>3510000</v>
      </c>
      <c r="L16" s="6">
        <v>3901900</v>
      </c>
      <c r="M16" s="6">
        <v>3436100</v>
      </c>
      <c r="N16" s="6">
        <v>4985900</v>
      </c>
      <c r="O16" s="6">
        <v>1527200</v>
      </c>
      <c r="P16" s="6">
        <v>1963500</v>
      </c>
      <c r="Q16" s="6">
        <v>2595700</v>
      </c>
      <c r="R16" s="6">
        <v>2593800</v>
      </c>
      <c r="S16" s="6">
        <v>1991900</v>
      </c>
      <c r="T16" s="6">
        <v>2838100</v>
      </c>
      <c r="U16" s="6">
        <v>6494400</v>
      </c>
    </row>
    <row r="17" spans="1:21" x14ac:dyDescent="0.45">
      <c r="A17" t="s">
        <v>66</v>
      </c>
      <c r="B17" t="s">
        <v>37</v>
      </c>
      <c r="C17" s="4">
        <v>532865</v>
      </c>
      <c r="E17" s="4">
        <v>10128</v>
      </c>
      <c r="F17" s="5"/>
      <c r="H17" t="s">
        <v>37</v>
      </c>
      <c r="J17" s="6">
        <v>1289400</v>
      </c>
      <c r="K17" s="6">
        <v>4990500</v>
      </c>
      <c r="L17" s="6">
        <v>4191400</v>
      </c>
      <c r="M17" s="6">
        <v>2518700</v>
      </c>
      <c r="N17" s="6">
        <v>4501200</v>
      </c>
      <c r="O17" s="6">
        <v>1844600</v>
      </c>
      <c r="P17" s="6">
        <v>1828800</v>
      </c>
      <c r="Q17" s="6">
        <v>1658700</v>
      </c>
      <c r="R17" s="6">
        <v>2492800</v>
      </c>
      <c r="S17" s="6">
        <v>2817900</v>
      </c>
      <c r="T17" s="6">
        <v>3867700</v>
      </c>
      <c r="U17" s="6">
        <v>5341710</v>
      </c>
    </row>
    <row r="18" spans="1:21" x14ac:dyDescent="0.45">
      <c r="A18" t="s">
        <v>73</v>
      </c>
      <c r="B18" t="s">
        <v>19</v>
      </c>
      <c r="C18" s="4">
        <v>959140</v>
      </c>
      <c r="E18" s="4">
        <v>17274</v>
      </c>
      <c r="F18" s="5"/>
      <c r="H18" t="s">
        <v>19</v>
      </c>
      <c r="J18" s="6">
        <v>3315700</v>
      </c>
      <c r="K18" s="6">
        <v>4948700</v>
      </c>
      <c r="L18" s="6">
        <v>2212400</v>
      </c>
      <c r="M18" s="6">
        <v>2977600</v>
      </c>
      <c r="N18" s="6">
        <v>2702800</v>
      </c>
      <c r="O18" s="6">
        <v>4480600</v>
      </c>
      <c r="P18" s="6">
        <v>4875500</v>
      </c>
      <c r="Q18" s="6">
        <v>3528700</v>
      </c>
      <c r="R18" s="6">
        <v>2806400</v>
      </c>
      <c r="S18" s="6">
        <v>3258900</v>
      </c>
      <c r="T18" s="6">
        <v>2908100</v>
      </c>
      <c r="U18" s="6">
        <v>5379660</v>
      </c>
    </row>
    <row r="19" spans="1:21" x14ac:dyDescent="0.45">
      <c r="A19" t="s">
        <v>73</v>
      </c>
      <c r="B19" t="s">
        <v>53</v>
      </c>
      <c r="C19" s="4">
        <v>222329</v>
      </c>
      <c r="E19" s="4">
        <v>15636</v>
      </c>
      <c r="F19" s="5"/>
      <c r="H19" t="s">
        <v>53</v>
      </c>
      <c r="J19" s="6">
        <v>1248500</v>
      </c>
      <c r="K19" s="6">
        <v>1986800</v>
      </c>
      <c r="L19" s="6">
        <v>1882900</v>
      </c>
      <c r="M19" s="6">
        <v>4900600</v>
      </c>
      <c r="N19" s="6">
        <v>4059500</v>
      </c>
      <c r="O19" s="6">
        <v>4832900</v>
      </c>
      <c r="P19" s="6">
        <v>3359800</v>
      </c>
      <c r="Q19" s="6">
        <v>4838300</v>
      </c>
      <c r="R19" s="6">
        <v>4858800</v>
      </c>
      <c r="S19" s="6">
        <v>1250300</v>
      </c>
      <c r="T19" s="6">
        <v>4942400</v>
      </c>
      <c r="U19" s="6">
        <v>8173440.0000000019</v>
      </c>
    </row>
    <row r="20" spans="1:21" x14ac:dyDescent="0.45">
      <c r="A20" t="s">
        <v>73</v>
      </c>
      <c r="B20" t="s">
        <v>59</v>
      </c>
      <c r="C20" s="4">
        <v>133118</v>
      </c>
      <c r="E20" s="4">
        <v>14810</v>
      </c>
      <c r="F20" s="5"/>
      <c r="H20" t="s">
        <v>59</v>
      </c>
      <c r="J20" s="6">
        <v>2493900</v>
      </c>
      <c r="K20" s="6">
        <v>3064400</v>
      </c>
      <c r="L20" s="6">
        <v>4838800</v>
      </c>
      <c r="M20" s="6">
        <v>1927600</v>
      </c>
      <c r="N20" s="6">
        <v>2220200</v>
      </c>
      <c r="O20" s="6">
        <v>2731900</v>
      </c>
      <c r="P20" s="6">
        <v>4734100</v>
      </c>
      <c r="Q20" s="6">
        <v>4249500</v>
      </c>
      <c r="R20" s="6">
        <v>1362200</v>
      </c>
      <c r="S20" s="6">
        <v>1817400</v>
      </c>
      <c r="T20" s="6">
        <v>4233900</v>
      </c>
      <c r="U20" s="6">
        <v>4846050.0000000009</v>
      </c>
    </row>
    <row r="21" spans="1:21" x14ac:dyDescent="0.45">
      <c r="A21" t="s">
        <v>72</v>
      </c>
      <c r="B21" t="s">
        <v>17</v>
      </c>
      <c r="C21" s="4">
        <v>1006193</v>
      </c>
      <c r="E21" s="4">
        <v>10604</v>
      </c>
      <c r="F21" s="5"/>
      <c r="H21" t="s">
        <v>18</v>
      </c>
      <c r="J21" s="6">
        <v>4037300</v>
      </c>
      <c r="K21" s="6">
        <v>1906300</v>
      </c>
      <c r="L21" s="6">
        <v>2369000</v>
      </c>
      <c r="M21" s="6">
        <v>4370100</v>
      </c>
      <c r="N21" s="6">
        <v>2737700</v>
      </c>
      <c r="O21" s="6">
        <v>4704100</v>
      </c>
      <c r="P21" s="6">
        <v>4959500</v>
      </c>
      <c r="Q21" s="6">
        <v>3715800</v>
      </c>
      <c r="R21" s="6">
        <v>3722200</v>
      </c>
      <c r="S21" s="6">
        <v>1210400</v>
      </c>
      <c r="T21" s="6">
        <v>5104400</v>
      </c>
      <c r="U21" s="6">
        <v>10264980.000000002</v>
      </c>
    </row>
    <row r="22" spans="1:21" x14ac:dyDescent="0.45">
      <c r="A22" t="s">
        <v>69</v>
      </c>
      <c r="B22" t="s">
        <v>12</v>
      </c>
      <c r="C22" s="4">
        <v>1153633</v>
      </c>
      <c r="E22" s="4">
        <v>4066</v>
      </c>
      <c r="F22" s="5"/>
      <c r="H22" t="s">
        <v>12</v>
      </c>
      <c r="J22" s="6">
        <v>4466300</v>
      </c>
      <c r="K22" s="6">
        <v>2450700</v>
      </c>
      <c r="L22" s="6">
        <v>2438000</v>
      </c>
      <c r="M22" s="6">
        <v>4248300</v>
      </c>
      <c r="N22" s="6">
        <v>2765600</v>
      </c>
      <c r="O22" s="6">
        <v>4989600</v>
      </c>
      <c r="P22" s="6">
        <v>3183800</v>
      </c>
      <c r="Q22" s="6">
        <v>1400900</v>
      </c>
      <c r="R22" s="6">
        <v>2467400</v>
      </c>
      <c r="S22" s="6">
        <v>1834000</v>
      </c>
      <c r="T22" s="6">
        <v>4834100</v>
      </c>
      <c r="U22" s="6">
        <v>12172050</v>
      </c>
    </row>
    <row r="23" spans="1:21" x14ac:dyDescent="0.45">
      <c r="A23" t="s">
        <v>69</v>
      </c>
      <c r="B23" t="s">
        <v>16</v>
      </c>
      <c r="C23" s="4">
        <v>1098831</v>
      </c>
      <c r="E23" s="4">
        <v>3381</v>
      </c>
      <c r="F23" s="5"/>
      <c r="H23" t="s">
        <v>92</v>
      </c>
      <c r="J23" s="6">
        <v>2057700</v>
      </c>
      <c r="K23" s="6">
        <v>3323300</v>
      </c>
      <c r="L23" s="6">
        <v>1931400</v>
      </c>
      <c r="M23" s="6">
        <v>2918300</v>
      </c>
      <c r="N23" s="6">
        <v>1661700</v>
      </c>
      <c r="O23" s="6">
        <v>3110400</v>
      </c>
      <c r="P23" s="6">
        <v>2252300</v>
      </c>
      <c r="Q23" s="6">
        <v>1145800</v>
      </c>
      <c r="R23" s="6">
        <v>2986700</v>
      </c>
      <c r="S23" s="6">
        <v>4178900</v>
      </c>
      <c r="T23" s="6">
        <v>2376500</v>
      </c>
      <c r="U23" s="6">
        <v>3954390</v>
      </c>
    </row>
    <row r="24" spans="1:21" x14ac:dyDescent="0.45">
      <c r="A24" t="s">
        <v>77</v>
      </c>
      <c r="B24" t="s">
        <v>33</v>
      </c>
      <c r="C24" s="4">
        <v>584407</v>
      </c>
      <c r="E24" s="4">
        <v>5321</v>
      </c>
      <c r="F24" s="5"/>
      <c r="H24" t="s">
        <v>34</v>
      </c>
      <c r="J24" s="6">
        <v>4278500</v>
      </c>
      <c r="K24" s="6">
        <v>1615800</v>
      </c>
      <c r="L24" s="6">
        <v>1474600</v>
      </c>
      <c r="M24" s="6">
        <v>2446800</v>
      </c>
      <c r="N24" s="6">
        <v>2751700</v>
      </c>
      <c r="O24" s="6">
        <v>4941700</v>
      </c>
      <c r="P24" s="6">
        <v>1572200</v>
      </c>
      <c r="Q24" s="6">
        <v>3541200</v>
      </c>
      <c r="R24" s="6">
        <v>4074800</v>
      </c>
      <c r="S24" s="6">
        <v>3513700</v>
      </c>
      <c r="T24" s="6">
        <v>4758600</v>
      </c>
      <c r="U24" s="6">
        <v>11436150</v>
      </c>
    </row>
    <row r="25" spans="1:21" x14ac:dyDescent="0.45">
      <c r="A25" t="s">
        <v>78</v>
      </c>
      <c r="B25" t="s">
        <v>38</v>
      </c>
      <c r="C25" s="4">
        <v>517758</v>
      </c>
      <c r="E25" s="4">
        <v>8110</v>
      </c>
      <c r="F25" s="5"/>
      <c r="H25" t="s">
        <v>38</v>
      </c>
      <c r="J25" s="6">
        <v>4951700</v>
      </c>
      <c r="K25" s="6">
        <v>4879600</v>
      </c>
      <c r="L25" s="6">
        <v>4914400</v>
      </c>
      <c r="M25" s="6">
        <v>4003900</v>
      </c>
      <c r="N25" s="6">
        <v>3844200</v>
      </c>
      <c r="O25" s="6">
        <v>2194400</v>
      </c>
      <c r="P25" s="6">
        <v>2554800</v>
      </c>
      <c r="Q25" s="6">
        <v>2869200</v>
      </c>
      <c r="R25" s="6">
        <v>1218200</v>
      </c>
      <c r="S25" s="6">
        <v>4982600</v>
      </c>
      <c r="T25" s="6">
        <v>3227600</v>
      </c>
      <c r="U25" s="6">
        <v>5728800</v>
      </c>
    </row>
    <row r="26" spans="1:21" x14ac:dyDescent="0.45">
      <c r="A26" t="s">
        <v>78</v>
      </c>
      <c r="B26" t="s">
        <v>40</v>
      </c>
      <c r="C26" s="4">
        <v>452219</v>
      </c>
      <c r="E26" s="4">
        <v>15581</v>
      </c>
      <c r="F26" s="5"/>
      <c r="H26" t="s">
        <v>40</v>
      </c>
      <c r="J26" s="6">
        <v>3709700</v>
      </c>
      <c r="K26" s="6">
        <v>4670000</v>
      </c>
      <c r="L26" s="6">
        <v>3646900</v>
      </c>
      <c r="M26" s="6">
        <v>4293300</v>
      </c>
      <c r="N26" s="6">
        <v>1618300</v>
      </c>
      <c r="O26" s="6">
        <v>2803500</v>
      </c>
      <c r="P26" s="6">
        <v>3905100</v>
      </c>
      <c r="Q26" s="6">
        <v>4873800</v>
      </c>
      <c r="R26" s="6">
        <v>2963500</v>
      </c>
      <c r="S26" s="6">
        <v>2878000</v>
      </c>
      <c r="T26" s="6">
        <v>2709700</v>
      </c>
      <c r="U26" s="6">
        <v>15672360</v>
      </c>
    </row>
    <row r="27" spans="1:21" x14ac:dyDescent="0.45">
      <c r="A27" t="s">
        <v>78</v>
      </c>
      <c r="B27" t="s">
        <v>44</v>
      </c>
      <c r="C27" s="4">
        <v>353021</v>
      </c>
      <c r="E27" s="4">
        <v>14292</v>
      </c>
      <c r="F27" s="5"/>
      <c r="H27" t="s">
        <v>44</v>
      </c>
      <c r="J27" s="6">
        <v>1441400</v>
      </c>
      <c r="K27" s="6">
        <v>4918400</v>
      </c>
      <c r="L27" s="6">
        <v>4337200</v>
      </c>
      <c r="M27" s="6">
        <v>4840200</v>
      </c>
      <c r="N27" s="6">
        <v>4509900</v>
      </c>
      <c r="O27" s="6">
        <v>1277200</v>
      </c>
      <c r="P27" s="6">
        <v>3028300</v>
      </c>
      <c r="Q27" s="6">
        <v>1776100</v>
      </c>
      <c r="R27" s="6">
        <v>4432600</v>
      </c>
      <c r="S27" s="6">
        <v>1250200</v>
      </c>
      <c r="T27" s="6">
        <v>3383700</v>
      </c>
      <c r="U27" s="6">
        <v>14296920</v>
      </c>
    </row>
    <row r="28" spans="1:21" x14ac:dyDescent="0.45">
      <c r="A28" t="s">
        <v>78</v>
      </c>
      <c r="B28" t="s">
        <v>47</v>
      </c>
      <c r="C28" s="4">
        <v>326506</v>
      </c>
      <c r="E28" s="4">
        <v>12350</v>
      </c>
      <c r="F28" s="5"/>
      <c r="H28" t="s">
        <v>47</v>
      </c>
      <c r="J28" s="6">
        <v>1706000</v>
      </c>
      <c r="K28" s="6">
        <v>1731100</v>
      </c>
      <c r="L28" s="6">
        <v>3258700</v>
      </c>
      <c r="M28" s="6">
        <v>1225400</v>
      </c>
      <c r="N28" s="6">
        <v>1153800</v>
      </c>
      <c r="O28" s="6">
        <v>2167200</v>
      </c>
      <c r="P28" s="6">
        <v>1621000</v>
      </c>
      <c r="Q28" s="6">
        <v>3839100</v>
      </c>
      <c r="R28" s="6">
        <v>4074400</v>
      </c>
      <c r="S28" s="6">
        <v>1814300</v>
      </c>
      <c r="T28" s="6">
        <v>1229800</v>
      </c>
      <c r="U28" s="6">
        <v>7883700.0000000019</v>
      </c>
    </row>
    <row r="29" spans="1:21" x14ac:dyDescent="0.45">
      <c r="A29" t="s">
        <v>78</v>
      </c>
      <c r="B29" t="s">
        <v>55</v>
      </c>
      <c r="C29" s="4">
        <v>167846</v>
      </c>
      <c r="E29" s="4">
        <v>10561</v>
      </c>
      <c r="F29" s="5"/>
      <c r="H29" t="s">
        <v>55</v>
      </c>
      <c r="J29" s="6">
        <v>3903200</v>
      </c>
      <c r="K29" s="6">
        <v>1839700</v>
      </c>
      <c r="L29" s="6">
        <v>4624700</v>
      </c>
      <c r="M29" s="6">
        <v>4149500</v>
      </c>
      <c r="N29" s="6">
        <v>4190000</v>
      </c>
      <c r="O29" s="6">
        <v>4835100</v>
      </c>
      <c r="P29" s="6">
        <v>1335500</v>
      </c>
      <c r="Q29" s="6">
        <v>4671900</v>
      </c>
      <c r="R29" s="6">
        <v>4830000</v>
      </c>
      <c r="S29" s="6">
        <v>3662300</v>
      </c>
      <c r="T29" s="6">
        <v>2960100</v>
      </c>
      <c r="U29" s="6">
        <v>10302600</v>
      </c>
    </row>
    <row r="30" spans="1:21" x14ac:dyDescent="0.45">
      <c r="A30" t="s">
        <v>78</v>
      </c>
      <c r="B30" t="s">
        <v>56</v>
      </c>
      <c r="C30" s="4">
        <v>159062</v>
      </c>
      <c r="E30" s="4">
        <v>8050</v>
      </c>
      <c r="F30" s="5"/>
      <c r="H30" t="s">
        <v>56</v>
      </c>
      <c r="J30" s="6">
        <v>3310800</v>
      </c>
      <c r="K30" s="6">
        <v>1486600</v>
      </c>
      <c r="L30" s="6">
        <v>2468400</v>
      </c>
      <c r="M30" s="6">
        <v>1343400</v>
      </c>
      <c r="N30" s="6">
        <v>3063400</v>
      </c>
      <c r="O30" s="6">
        <v>3575800</v>
      </c>
      <c r="P30" s="6">
        <v>1016000</v>
      </c>
      <c r="Q30" s="6">
        <v>2236400</v>
      </c>
      <c r="R30" s="6">
        <v>2723100</v>
      </c>
      <c r="S30" s="6">
        <v>1149600</v>
      </c>
      <c r="T30" s="6">
        <v>2637900</v>
      </c>
      <c r="U30" s="6">
        <v>5173080.0000000009</v>
      </c>
    </row>
    <row r="31" spans="1:21" x14ac:dyDescent="0.45">
      <c r="A31" t="s">
        <v>78</v>
      </c>
      <c r="B31" t="s">
        <v>57</v>
      </c>
      <c r="C31" s="4">
        <v>157340</v>
      </c>
      <c r="E31" s="4">
        <v>8052</v>
      </c>
      <c r="F31" s="5"/>
      <c r="H31" t="s">
        <v>57</v>
      </c>
      <c r="J31" s="6">
        <v>1486200</v>
      </c>
      <c r="K31" s="6">
        <v>2638700</v>
      </c>
      <c r="L31" s="6">
        <v>3629500</v>
      </c>
      <c r="M31" s="6">
        <v>4693400</v>
      </c>
      <c r="N31" s="6">
        <v>4513500</v>
      </c>
      <c r="O31" s="6">
        <v>3626500</v>
      </c>
      <c r="P31" s="6">
        <v>3392100</v>
      </c>
      <c r="Q31" s="6">
        <v>3278300</v>
      </c>
      <c r="R31" s="6">
        <v>2222400</v>
      </c>
      <c r="S31" s="6">
        <v>3632400</v>
      </c>
      <c r="T31" s="6">
        <v>1068500</v>
      </c>
      <c r="U31" s="6">
        <v>7388700.0000000019</v>
      </c>
    </row>
    <row r="32" spans="1:21" x14ac:dyDescent="0.45">
      <c r="A32" t="s">
        <v>78</v>
      </c>
      <c r="B32" t="s">
        <v>58</v>
      </c>
      <c r="C32" s="4">
        <v>153812</v>
      </c>
      <c r="E32" s="4">
        <v>6921</v>
      </c>
      <c r="F32" s="5"/>
      <c r="H32" t="s">
        <v>58</v>
      </c>
      <c r="J32" s="6">
        <v>1246100</v>
      </c>
      <c r="K32" s="6">
        <v>3731700</v>
      </c>
      <c r="L32" s="6">
        <v>4857700</v>
      </c>
      <c r="M32" s="6">
        <v>1536900</v>
      </c>
      <c r="N32" s="6">
        <v>1382500</v>
      </c>
      <c r="O32" s="6">
        <v>1079800</v>
      </c>
      <c r="P32" s="6">
        <v>2263900</v>
      </c>
      <c r="Q32" s="6">
        <v>4405100</v>
      </c>
      <c r="R32" s="6">
        <v>4665100</v>
      </c>
      <c r="S32" s="6">
        <v>2704100</v>
      </c>
      <c r="T32" s="6">
        <v>4565400</v>
      </c>
      <c r="U32" s="6">
        <v>4169550.0000000009</v>
      </c>
    </row>
    <row r="33" spans="1:21" x14ac:dyDescent="0.45">
      <c r="A33" t="s">
        <v>78</v>
      </c>
      <c r="B33" t="s">
        <v>60</v>
      </c>
      <c r="C33" s="4">
        <v>89176</v>
      </c>
      <c r="E33" s="4">
        <v>10306</v>
      </c>
      <c r="F33" s="5"/>
      <c r="H33" t="s">
        <v>60</v>
      </c>
      <c r="J33" s="6">
        <v>3471800</v>
      </c>
      <c r="K33" s="6">
        <v>1268500</v>
      </c>
      <c r="L33" s="6">
        <v>3852200</v>
      </c>
      <c r="M33" s="6">
        <v>4303100</v>
      </c>
      <c r="N33" s="6">
        <v>2232000</v>
      </c>
      <c r="O33" s="6">
        <v>2338600</v>
      </c>
      <c r="P33" s="6">
        <v>3225300</v>
      </c>
      <c r="Q33" s="6">
        <v>4964600</v>
      </c>
      <c r="R33" s="6">
        <v>2339900</v>
      </c>
      <c r="S33" s="6">
        <v>4245800</v>
      </c>
      <c r="T33" s="6">
        <v>3921800</v>
      </c>
      <c r="U33" s="6">
        <v>7791630</v>
      </c>
    </row>
    <row r="34" spans="1:21" x14ac:dyDescent="0.45">
      <c r="A34" t="s">
        <v>74</v>
      </c>
      <c r="B34" t="s">
        <v>28</v>
      </c>
      <c r="C34" s="4">
        <v>709403</v>
      </c>
      <c r="E34" s="4">
        <v>15370</v>
      </c>
      <c r="F34" s="5"/>
      <c r="H34" t="s">
        <v>28</v>
      </c>
      <c r="J34" s="6">
        <v>5047700</v>
      </c>
      <c r="K34" s="6">
        <v>3968400</v>
      </c>
      <c r="L34" s="6">
        <v>4859000</v>
      </c>
      <c r="M34" s="6">
        <v>1487200</v>
      </c>
      <c r="N34" s="6">
        <v>1411500</v>
      </c>
      <c r="O34" s="6">
        <v>3724700</v>
      </c>
      <c r="P34" s="6">
        <v>2554600</v>
      </c>
      <c r="Q34" s="6">
        <v>4762500</v>
      </c>
      <c r="R34" s="6">
        <v>3808100</v>
      </c>
      <c r="S34" s="6">
        <v>3554700</v>
      </c>
      <c r="T34" s="6">
        <v>5067500</v>
      </c>
      <c r="U34" s="6">
        <v>6331380</v>
      </c>
    </row>
    <row r="35" spans="1:21" x14ac:dyDescent="0.45">
      <c r="A35" t="s">
        <v>74</v>
      </c>
      <c r="B35" t="s">
        <v>39</v>
      </c>
      <c r="C35" s="4">
        <v>489950</v>
      </c>
      <c r="E35" s="4">
        <v>19813</v>
      </c>
      <c r="F35" s="5"/>
      <c r="H35" t="s">
        <v>39</v>
      </c>
      <c r="J35" s="6">
        <v>1947900</v>
      </c>
      <c r="K35" s="6">
        <v>3483200</v>
      </c>
      <c r="L35" s="6">
        <v>4742600</v>
      </c>
      <c r="M35" s="6">
        <v>3120100</v>
      </c>
      <c r="N35" s="6">
        <v>4803300</v>
      </c>
      <c r="O35" s="6">
        <v>2821100</v>
      </c>
      <c r="P35" s="6">
        <v>5029800</v>
      </c>
      <c r="Q35" s="6">
        <v>1568800</v>
      </c>
      <c r="R35" s="6">
        <v>4012000</v>
      </c>
      <c r="S35" s="6">
        <v>4952300</v>
      </c>
      <c r="T35" s="6">
        <v>3820300</v>
      </c>
      <c r="U35" s="6">
        <v>9167730</v>
      </c>
    </row>
    <row r="36" spans="1:21" x14ac:dyDescent="0.45">
      <c r="A36" t="s">
        <v>74</v>
      </c>
      <c r="B36" t="s">
        <v>42</v>
      </c>
      <c r="C36" s="4">
        <v>387735</v>
      </c>
      <c r="E36" s="4">
        <v>14924</v>
      </c>
      <c r="F36" s="5"/>
      <c r="H36" t="s">
        <v>42</v>
      </c>
      <c r="J36" s="6">
        <v>5012700</v>
      </c>
      <c r="K36" s="6">
        <v>4156900</v>
      </c>
      <c r="L36" s="6">
        <v>2533200</v>
      </c>
      <c r="M36" s="6">
        <v>3934200</v>
      </c>
      <c r="N36" s="6">
        <v>3602300</v>
      </c>
      <c r="O36" s="6">
        <v>1041200</v>
      </c>
      <c r="P36" s="6">
        <v>2303500</v>
      </c>
      <c r="Q36" s="6">
        <v>4121700</v>
      </c>
      <c r="R36" s="6">
        <v>4331900</v>
      </c>
      <c r="S36" s="6">
        <v>3348800</v>
      </c>
      <c r="T36" s="6">
        <v>4713000</v>
      </c>
      <c r="U36" s="6">
        <v>12798720</v>
      </c>
    </row>
    <row r="37" spans="1:21" x14ac:dyDescent="0.45">
      <c r="A37" t="s">
        <v>74</v>
      </c>
      <c r="B37" t="s">
        <v>52</v>
      </c>
      <c r="C37" s="4">
        <v>266471</v>
      </c>
      <c r="E37" s="4">
        <v>12214</v>
      </c>
      <c r="F37" s="5"/>
      <c r="H37" t="s">
        <v>52</v>
      </c>
      <c r="J37" s="6">
        <v>3411200</v>
      </c>
      <c r="K37" s="6">
        <v>5007400</v>
      </c>
      <c r="L37" s="6">
        <v>4795700</v>
      </c>
      <c r="M37" s="6">
        <v>3381400</v>
      </c>
      <c r="N37" s="6">
        <v>3139800</v>
      </c>
      <c r="O37" s="6">
        <v>4937900</v>
      </c>
      <c r="P37" s="6">
        <v>3990600</v>
      </c>
      <c r="Q37" s="6">
        <v>1451400</v>
      </c>
      <c r="R37" s="6">
        <v>2143600</v>
      </c>
      <c r="S37" s="6">
        <v>1802600</v>
      </c>
      <c r="T37" s="6">
        <v>2151100</v>
      </c>
      <c r="U37" s="6">
        <v>5244030.0000000009</v>
      </c>
    </row>
    <row r="38" spans="1:21" x14ac:dyDescent="0.45">
      <c r="A38" t="s">
        <v>74</v>
      </c>
      <c r="B38" t="s">
        <v>54</v>
      </c>
      <c r="C38" s="4">
        <v>198842</v>
      </c>
      <c r="E38" s="4">
        <v>17140</v>
      </c>
      <c r="F38" s="5"/>
      <c r="H38" t="s">
        <v>54</v>
      </c>
      <c r="J38" s="6">
        <v>3408600</v>
      </c>
      <c r="K38" s="6">
        <v>2792100</v>
      </c>
      <c r="L38" s="6">
        <v>2131000</v>
      </c>
      <c r="M38" s="6">
        <v>4443100</v>
      </c>
      <c r="N38" s="6">
        <v>2162100</v>
      </c>
      <c r="O38" s="6">
        <v>2405400</v>
      </c>
      <c r="P38" s="6">
        <v>1841300</v>
      </c>
      <c r="Q38" s="6">
        <v>2785000</v>
      </c>
      <c r="R38" s="6">
        <v>1531100</v>
      </c>
      <c r="S38" s="6">
        <v>4792200</v>
      </c>
      <c r="T38" s="6">
        <v>2922800</v>
      </c>
      <c r="U38" s="6">
        <v>12434400</v>
      </c>
    </row>
    <row r="39" spans="1:21" x14ac:dyDescent="0.45">
      <c r="A39" t="s">
        <v>64</v>
      </c>
      <c r="B39" t="s">
        <v>3</v>
      </c>
      <c r="C39" s="4">
        <v>5641485</v>
      </c>
      <c r="E39" s="4">
        <v>7728</v>
      </c>
      <c r="F39" s="5"/>
      <c r="H39" t="s">
        <v>3</v>
      </c>
      <c r="J39" s="6">
        <v>3375000</v>
      </c>
      <c r="K39" s="6">
        <v>3731200</v>
      </c>
      <c r="L39" s="6">
        <v>5379100</v>
      </c>
      <c r="M39" s="6">
        <v>4708100</v>
      </c>
      <c r="N39" s="6">
        <v>2220400</v>
      </c>
      <c r="O39" s="6">
        <v>1579700</v>
      </c>
      <c r="P39" s="6">
        <v>1811900</v>
      </c>
      <c r="Q39" s="6">
        <v>5239500</v>
      </c>
      <c r="R39" s="6">
        <v>3883400</v>
      </c>
      <c r="S39" s="6">
        <v>1600100</v>
      </c>
      <c r="T39" s="6">
        <v>3980100</v>
      </c>
      <c r="U39" s="6">
        <v>14980680.000000004</v>
      </c>
    </row>
    <row r="40" spans="1:21" x14ac:dyDescent="0.45">
      <c r="A40" t="s">
        <v>64</v>
      </c>
      <c r="B40" t="s">
        <v>22</v>
      </c>
      <c r="C40" s="4">
        <v>823721</v>
      </c>
      <c r="E40" s="4">
        <v>6303</v>
      </c>
      <c r="F40" s="5"/>
      <c r="H40" t="s">
        <v>22</v>
      </c>
      <c r="J40" s="6">
        <v>1421900</v>
      </c>
      <c r="K40" s="6">
        <v>2842000</v>
      </c>
      <c r="L40" s="6">
        <v>2931500</v>
      </c>
      <c r="M40" s="6">
        <v>1776000</v>
      </c>
      <c r="N40" s="6">
        <v>2863300</v>
      </c>
      <c r="O40" s="6">
        <v>1545400</v>
      </c>
      <c r="P40" s="6">
        <v>1124600</v>
      </c>
      <c r="Q40" s="6">
        <v>2364900</v>
      </c>
      <c r="R40" s="6">
        <v>4581100</v>
      </c>
      <c r="S40" s="6">
        <v>2823600</v>
      </c>
      <c r="T40" s="6">
        <v>2716500</v>
      </c>
      <c r="U40" s="6">
        <v>4646400.0000000009</v>
      </c>
    </row>
    <row r="41" spans="1:21" x14ac:dyDescent="0.45">
      <c r="A41" t="s">
        <v>64</v>
      </c>
      <c r="B41" t="s">
        <v>24</v>
      </c>
      <c r="C41" s="4">
        <v>776944</v>
      </c>
      <c r="E41" s="4">
        <v>5910</v>
      </c>
      <c r="F41" s="5"/>
      <c r="H41" t="s">
        <v>24</v>
      </c>
      <c r="J41" s="6">
        <v>3161900</v>
      </c>
      <c r="K41" s="6">
        <v>3105600</v>
      </c>
      <c r="L41" s="6">
        <v>2171400</v>
      </c>
      <c r="M41" s="6">
        <v>2078000</v>
      </c>
      <c r="N41" s="6">
        <v>4821400</v>
      </c>
      <c r="O41" s="6">
        <v>3550900</v>
      </c>
      <c r="P41" s="6">
        <v>2763700</v>
      </c>
      <c r="Q41" s="6">
        <v>4712300</v>
      </c>
      <c r="R41" s="6">
        <v>4047900</v>
      </c>
      <c r="S41" s="6">
        <v>2976800</v>
      </c>
      <c r="T41" s="6">
        <v>3064900</v>
      </c>
      <c r="U41" s="6">
        <v>15919530.000000004</v>
      </c>
    </row>
    <row r="42" spans="1:21" x14ac:dyDescent="0.45">
      <c r="A42" t="s">
        <v>64</v>
      </c>
      <c r="B42" t="s">
        <v>41</v>
      </c>
      <c r="C42" s="4">
        <v>437260</v>
      </c>
      <c r="E42" s="4">
        <v>12172</v>
      </c>
      <c r="F42" s="5"/>
      <c r="H42" t="s">
        <v>41</v>
      </c>
      <c r="J42" s="6">
        <v>1599200</v>
      </c>
      <c r="K42" s="6">
        <v>4827900</v>
      </c>
      <c r="L42" s="6">
        <v>3075300</v>
      </c>
      <c r="M42" s="6">
        <v>3246000</v>
      </c>
      <c r="N42" s="6">
        <v>4026100</v>
      </c>
      <c r="O42" s="6">
        <v>2546800</v>
      </c>
      <c r="P42" s="6">
        <v>2781600</v>
      </c>
      <c r="Q42" s="6">
        <v>1273200</v>
      </c>
      <c r="R42" s="6">
        <v>2758100</v>
      </c>
      <c r="S42" s="6">
        <v>1074100</v>
      </c>
      <c r="T42" s="6">
        <v>3792800</v>
      </c>
      <c r="U42" s="6">
        <v>14138520</v>
      </c>
    </row>
    <row r="43" spans="1:21" x14ac:dyDescent="0.45">
      <c r="A43" t="s">
        <v>81</v>
      </c>
      <c r="B43" t="s">
        <v>62</v>
      </c>
      <c r="C43" s="4">
        <v>82533</v>
      </c>
      <c r="E43" s="4">
        <v>19</v>
      </c>
      <c r="F43" s="5"/>
      <c r="H43" t="s">
        <v>81</v>
      </c>
      <c r="J43" s="6">
        <v>1865600</v>
      </c>
      <c r="K43" s="6">
        <v>3007600</v>
      </c>
      <c r="L43" s="6">
        <v>1982300</v>
      </c>
      <c r="M43" s="6">
        <v>3881400</v>
      </c>
      <c r="N43" s="6">
        <v>1160400</v>
      </c>
      <c r="O43" s="6">
        <v>2328100</v>
      </c>
      <c r="P43" s="6">
        <v>2580000</v>
      </c>
      <c r="Q43" s="6">
        <v>2777200</v>
      </c>
      <c r="R43" s="6">
        <v>2255400</v>
      </c>
      <c r="S43" s="6">
        <v>4560600</v>
      </c>
      <c r="T43" s="6">
        <v>4371500</v>
      </c>
      <c r="U43" s="6">
        <v>7782390.0000000019</v>
      </c>
    </row>
    <row r="44" spans="1:21" x14ac:dyDescent="0.45">
      <c r="A44" t="s">
        <v>63</v>
      </c>
      <c r="B44" t="s">
        <v>2</v>
      </c>
      <c r="C44" s="4">
        <v>6769113</v>
      </c>
      <c r="E44" s="4">
        <v>8028</v>
      </c>
      <c r="F44" s="5"/>
      <c r="H44" t="s">
        <v>2</v>
      </c>
      <c r="J44" s="6">
        <v>3671100</v>
      </c>
      <c r="K44" s="6">
        <v>4264500</v>
      </c>
      <c r="L44" s="6">
        <v>1219700</v>
      </c>
      <c r="M44" s="6">
        <v>3271200</v>
      </c>
      <c r="N44" s="6">
        <v>3524700</v>
      </c>
      <c r="O44" s="6">
        <v>1462600</v>
      </c>
      <c r="P44" s="6">
        <v>3126400</v>
      </c>
      <c r="Q44" s="6">
        <v>5653500</v>
      </c>
      <c r="R44" s="6">
        <v>4706600</v>
      </c>
      <c r="S44" s="6">
        <v>5625900</v>
      </c>
      <c r="T44" s="6">
        <v>2164700</v>
      </c>
      <c r="U44" s="6">
        <v>12934680.000000004</v>
      </c>
    </row>
    <row r="45" spans="1:21" x14ac:dyDescent="0.45">
      <c r="A45" t="s">
        <v>65</v>
      </c>
      <c r="B45" t="s">
        <v>4</v>
      </c>
      <c r="C45" s="4">
        <v>2589308</v>
      </c>
      <c r="E45" s="4">
        <v>10807</v>
      </c>
      <c r="F45" s="5"/>
      <c r="H45" t="s">
        <v>4</v>
      </c>
      <c r="J45" s="6">
        <v>3990000</v>
      </c>
      <c r="K45" s="6">
        <v>2568700</v>
      </c>
      <c r="L45" s="6">
        <v>3781500</v>
      </c>
      <c r="M45" s="6">
        <v>4571300</v>
      </c>
      <c r="N45" s="6">
        <v>2728300</v>
      </c>
      <c r="O45" s="6">
        <v>5150000</v>
      </c>
      <c r="P45" s="6">
        <v>2261700</v>
      </c>
      <c r="Q45" s="6">
        <v>2587900</v>
      </c>
      <c r="R45" s="6">
        <v>4735700</v>
      </c>
      <c r="S45" s="6">
        <v>2704000</v>
      </c>
      <c r="T45" s="6">
        <v>5030600</v>
      </c>
      <c r="U45" s="6">
        <v>5833080.0000000009</v>
      </c>
    </row>
    <row r="46" spans="1:21" x14ac:dyDescent="0.45">
      <c r="A46" t="s">
        <v>65</v>
      </c>
      <c r="B46" t="s">
        <v>6</v>
      </c>
      <c r="C46" s="4">
        <v>1904362</v>
      </c>
      <c r="E46" s="4">
        <v>5817</v>
      </c>
      <c r="F46" s="5"/>
      <c r="H46" t="s">
        <v>6</v>
      </c>
      <c r="J46" s="6">
        <v>1475500</v>
      </c>
      <c r="K46" s="6">
        <v>1093600</v>
      </c>
      <c r="L46" s="6">
        <v>2309900</v>
      </c>
      <c r="M46" s="6">
        <v>3956600</v>
      </c>
      <c r="N46" s="6">
        <v>4685700</v>
      </c>
      <c r="O46" s="6">
        <v>2466700</v>
      </c>
      <c r="P46" s="6">
        <v>3621900</v>
      </c>
      <c r="Q46" s="6">
        <v>1118800</v>
      </c>
      <c r="R46" s="6">
        <v>3225200</v>
      </c>
      <c r="S46" s="6">
        <v>4759900</v>
      </c>
      <c r="T46" s="6">
        <v>1168300</v>
      </c>
      <c r="U46" s="6">
        <v>6501000</v>
      </c>
    </row>
    <row r="47" spans="1:21" x14ac:dyDescent="0.45">
      <c r="A47" t="s">
        <v>65</v>
      </c>
      <c r="B47" t="s">
        <v>35</v>
      </c>
      <c r="C47" s="4">
        <v>578506</v>
      </c>
      <c r="E47" s="4">
        <v>6636</v>
      </c>
      <c r="F47" s="5"/>
      <c r="H47" t="s">
        <v>36</v>
      </c>
      <c r="J47" s="6">
        <v>3383200</v>
      </c>
      <c r="K47" s="6">
        <v>3883600</v>
      </c>
      <c r="L47" s="6">
        <v>1534900</v>
      </c>
      <c r="M47" s="6">
        <v>4458200</v>
      </c>
      <c r="N47" s="6">
        <v>4982500</v>
      </c>
      <c r="O47" s="6">
        <v>4102200</v>
      </c>
      <c r="P47" s="6">
        <v>1513500</v>
      </c>
      <c r="Q47" s="6">
        <v>3393300</v>
      </c>
      <c r="R47" s="6">
        <v>4011600</v>
      </c>
      <c r="S47" s="6">
        <v>4949900</v>
      </c>
      <c r="T47" s="6">
        <v>3103800</v>
      </c>
      <c r="U47" s="6">
        <v>7765230</v>
      </c>
    </row>
    <row r="48" spans="1:21" x14ac:dyDescent="0.45">
      <c r="A48" t="s">
        <v>75</v>
      </c>
      <c r="B48" t="s">
        <v>29</v>
      </c>
      <c r="C48" s="4">
        <v>667000</v>
      </c>
      <c r="E48" s="4">
        <v>21766</v>
      </c>
      <c r="F48" s="5"/>
      <c r="H48" t="s">
        <v>29</v>
      </c>
      <c r="J48" s="6">
        <v>1683100</v>
      </c>
      <c r="K48" s="6">
        <v>3998900</v>
      </c>
      <c r="L48" s="6">
        <v>2734400</v>
      </c>
      <c r="M48" s="6">
        <v>3171700</v>
      </c>
      <c r="N48" s="6">
        <v>1756800</v>
      </c>
      <c r="O48" s="6">
        <v>3570300</v>
      </c>
      <c r="P48" s="6">
        <v>4071300</v>
      </c>
      <c r="Q48" s="6">
        <v>4127500</v>
      </c>
      <c r="R48" s="6">
        <v>1237600</v>
      </c>
      <c r="S48" s="6">
        <v>3946400</v>
      </c>
      <c r="T48" s="6">
        <v>4904100</v>
      </c>
      <c r="U48" s="6">
        <v>9167400.0000000019</v>
      </c>
    </row>
    <row r="49" spans="1:21" x14ac:dyDescent="0.45">
      <c r="A49" t="s">
        <v>75</v>
      </c>
      <c r="B49" t="s">
        <v>43</v>
      </c>
      <c r="C49" s="4">
        <v>386302</v>
      </c>
      <c r="E49" s="4">
        <v>19868</v>
      </c>
      <c r="F49" s="5"/>
      <c r="H49" t="s">
        <v>43</v>
      </c>
      <c r="J49" s="6">
        <v>1222100</v>
      </c>
      <c r="K49" s="6">
        <v>2332900</v>
      </c>
      <c r="L49" s="6">
        <v>1383400</v>
      </c>
      <c r="M49" s="6">
        <v>2837500</v>
      </c>
      <c r="N49" s="6">
        <v>3594800</v>
      </c>
      <c r="O49" s="6">
        <v>2567900</v>
      </c>
      <c r="P49" s="6">
        <v>2111200</v>
      </c>
      <c r="Q49" s="6">
        <v>2956100</v>
      </c>
      <c r="R49" s="6">
        <v>4724700</v>
      </c>
      <c r="S49" s="6">
        <v>1743800</v>
      </c>
      <c r="T49" s="6">
        <v>3546500</v>
      </c>
      <c r="U49" s="6">
        <v>15563460</v>
      </c>
    </row>
    <row r="50" spans="1:21" x14ac:dyDescent="0.45">
      <c r="A50" t="s">
        <v>71</v>
      </c>
      <c r="B50" t="s">
        <v>15</v>
      </c>
      <c r="C50" s="4">
        <v>1120185</v>
      </c>
      <c r="E50" s="4">
        <v>7950</v>
      </c>
      <c r="F50" s="5"/>
      <c r="H50" t="s">
        <v>15</v>
      </c>
      <c r="J50" s="6">
        <v>2583800</v>
      </c>
      <c r="K50" s="6">
        <v>2218700</v>
      </c>
      <c r="L50" s="6">
        <v>2478500</v>
      </c>
      <c r="M50" s="6">
        <v>4644900</v>
      </c>
      <c r="N50" s="6">
        <v>4991900</v>
      </c>
      <c r="O50" s="6">
        <v>1259900</v>
      </c>
      <c r="P50" s="6">
        <v>4663400</v>
      </c>
      <c r="Q50" s="6">
        <v>3312300</v>
      </c>
      <c r="R50" s="6">
        <v>4290800</v>
      </c>
      <c r="S50" s="6">
        <v>3240300</v>
      </c>
      <c r="T50" s="6">
        <v>2570100</v>
      </c>
      <c r="U50" s="6">
        <v>3546840</v>
      </c>
    </row>
    <row r="51" spans="1:21" x14ac:dyDescent="0.45">
      <c r="A51" t="s">
        <v>71</v>
      </c>
      <c r="B51" t="s">
        <v>20</v>
      </c>
      <c r="C51" s="4">
        <v>942849</v>
      </c>
      <c r="E51" s="4">
        <v>4495</v>
      </c>
      <c r="F51" s="5"/>
      <c r="H51" t="s">
        <v>20</v>
      </c>
      <c r="J51" s="6">
        <v>2823200</v>
      </c>
      <c r="K51" s="6">
        <v>3220500</v>
      </c>
      <c r="L51" s="6">
        <v>1715800</v>
      </c>
      <c r="M51" s="6">
        <v>3709600</v>
      </c>
      <c r="N51" s="6">
        <v>1267400</v>
      </c>
      <c r="O51" s="6">
        <v>3907700</v>
      </c>
      <c r="P51" s="6">
        <v>4947700</v>
      </c>
      <c r="Q51" s="6">
        <v>1122500</v>
      </c>
      <c r="R51" s="6">
        <v>2074500</v>
      </c>
      <c r="S51" s="6">
        <v>2335400</v>
      </c>
      <c r="T51" s="6">
        <v>2532800</v>
      </c>
      <c r="U51" s="6">
        <v>3423750.0000000009</v>
      </c>
    </row>
    <row r="52" spans="1:21" x14ac:dyDescent="0.45">
      <c r="A52" t="s">
        <v>71</v>
      </c>
      <c r="B52" t="s">
        <v>48</v>
      </c>
      <c r="C52" s="4">
        <v>324419</v>
      </c>
      <c r="E52" s="4">
        <v>9856</v>
      </c>
      <c r="F52" s="5"/>
      <c r="H52" t="s">
        <v>48</v>
      </c>
      <c r="J52" s="6">
        <v>2729500</v>
      </c>
      <c r="K52" s="6">
        <v>3787400</v>
      </c>
      <c r="L52" s="6">
        <v>4031500</v>
      </c>
      <c r="M52" s="6">
        <v>4628900</v>
      </c>
      <c r="N52" s="6">
        <v>3913900</v>
      </c>
      <c r="O52" s="6">
        <v>3311100</v>
      </c>
      <c r="P52" s="6">
        <v>2795800</v>
      </c>
      <c r="Q52" s="6">
        <v>4152800</v>
      </c>
      <c r="R52" s="6">
        <v>4913600</v>
      </c>
      <c r="S52" s="6">
        <v>4960500</v>
      </c>
      <c r="T52" s="6">
        <v>3677600</v>
      </c>
      <c r="U52" s="6">
        <v>15987180.000000004</v>
      </c>
    </row>
    <row r="53" spans="1:21" x14ac:dyDescent="0.45">
      <c r="A53" t="s">
        <v>71</v>
      </c>
      <c r="B53" t="s">
        <v>51</v>
      </c>
      <c r="C53" s="4">
        <v>304104</v>
      </c>
      <c r="E53" s="4">
        <v>7273</v>
      </c>
      <c r="F53" s="5"/>
      <c r="H53" t="s">
        <v>51</v>
      </c>
      <c r="J53" s="6">
        <v>4212700</v>
      </c>
      <c r="K53" s="6">
        <v>4232800</v>
      </c>
      <c r="L53" s="6">
        <v>2600900</v>
      </c>
      <c r="M53" s="6">
        <v>2800700</v>
      </c>
      <c r="N53" s="6">
        <v>2069600</v>
      </c>
      <c r="O53" s="6">
        <v>2480100</v>
      </c>
      <c r="P53" s="6">
        <v>4881100</v>
      </c>
      <c r="Q53" s="6">
        <v>3726600</v>
      </c>
      <c r="R53" s="6">
        <v>2520000</v>
      </c>
      <c r="S53" s="6">
        <v>4969800</v>
      </c>
      <c r="T53" s="6">
        <v>4209600</v>
      </c>
      <c r="U53" s="6">
        <v>6755100</v>
      </c>
    </row>
    <row r="54" spans="1:21" x14ac:dyDescent="0.45">
      <c r="A54" t="s">
        <v>68</v>
      </c>
      <c r="B54" t="s">
        <v>10</v>
      </c>
      <c r="C54" s="4">
        <v>1223961</v>
      </c>
      <c r="E54" s="4">
        <v>4992</v>
      </c>
      <c r="F54" s="5"/>
      <c r="H54" t="s">
        <v>11</v>
      </c>
      <c r="J54" s="6">
        <v>1364400</v>
      </c>
      <c r="K54" s="6">
        <v>2483200</v>
      </c>
      <c r="L54" s="6">
        <v>1057200</v>
      </c>
      <c r="M54" s="6">
        <v>2614200</v>
      </c>
      <c r="N54" s="6">
        <v>3945700</v>
      </c>
      <c r="O54" s="6">
        <v>1872300</v>
      </c>
      <c r="P54" s="6">
        <v>4339500</v>
      </c>
      <c r="Q54" s="6">
        <v>3992300</v>
      </c>
      <c r="R54" s="6">
        <v>4509200</v>
      </c>
      <c r="S54" s="6">
        <v>4933000</v>
      </c>
      <c r="T54" s="6">
        <v>5073000</v>
      </c>
      <c r="U54" s="6">
        <v>14079120</v>
      </c>
    </row>
    <row r="55" spans="1:21" x14ac:dyDescent="0.45">
      <c r="A55" t="s">
        <v>79</v>
      </c>
      <c r="B55" t="s">
        <v>49</v>
      </c>
      <c r="C55" s="4">
        <v>315896</v>
      </c>
      <c r="E55" s="4">
        <v>5045</v>
      </c>
      <c r="F55" s="5"/>
      <c r="H55" t="s">
        <v>50</v>
      </c>
      <c r="J55" s="6">
        <v>3533700</v>
      </c>
      <c r="K55" s="6">
        <v>4835700</v>
      </c>
      <c r="L55" s="6">
        <v>1551900</v>
      </c>
      <c r="M55" s="6">
        <v>2379500</v>
      </c>
      <c r="N55" s="6">
        <v>4071200</v>
      </c>
      <c r="O55" s="6">
        <v>2117400</v>
      </c>
      <c r="P55" s="6">
        <v>3770000</v>
      </c>
      <c r="Q55" s="6">
        <v>4062600</v>
      </c>
      <c r="R55" s="6">
        <v>2945900</v>
      </c>
      <c r="S55" s="6">
        <v>1577600</v>
      </c>
      <c r="T55" s="6">
        <v>4757400</v>
      </c>
      <c r="U55" s="6">
        <v>12109680.000000002</v>
      </c>
    </row>
    <row r="56" spans="1:21" x14ac:dyDescent="0.45">
      <c r="A56" t="s">
        <v>80</v>
      </c>
      <c r="B56" t="s">
        <v>61</v>
      </c>
      <c r="C56" s="4">
        <v>83196</v>
      </c>
      <c r="E56" s="4">
        <v>13</v>
      </c>
      <c r="F56" s="5"/>
      <c r="H56" t="s">
        <v>80</v>
      </c>
      <c r="J56" s="6">
        <v>4300000</v>
      </c>
      <c r="K56" s="6">
        <v>1627700</v>
      </c>
      <c r="L56" s="6">
        <v>4069800</v>
      </c>
      <c r="M56" s="6">
        <v>4255900</v>
      </c>
      <c r="N56" s="6">
        <v>2315500</v>
      </c>
      <c r="O56" s="6">
        <v>1398600</v>
      </c>
      <c r="P56" s="6">
        <v>4447500</v>
      </c>
      <c r="Q56" s="6">
        <v>1559100</v>
      </c>
      <c r="R56" s="6">
        <v>4065400</v>
      </c>
      <c r="S56" s="6">
        <v>1506000</v>
      </c>
      <c r="T56" s="6">
        <v>2217800</v>
      </c>
      <c r="U56" s="6">
        <v>4648710</v>
      </c>
    </row>
    <row r="57" spans="1:21" x14ac:dyDescent="0.45">
      <c r="A57" t="s">
        <v>76</v>
      </c>
      <c r="B57" t="s">
        <v>30</v>
      </c>
      <c r="C57" s="4">
        <v>659232</v>
      </c>
      <c r="E57" s="4">
        <v>10391</v>
      </c>
      <c r="F57" s="5"/>
      <c r="H57" t="s">
        <v>31</v>
      </c>
      <c r="J57" s="6">
        <v>2248200</v>
      </c>
      <c r="K57" s="6">
        <v>1309800</v>
      </c>
      <c r="L57" s="6">
        <v>2495500</v>
      </c>
      <c r="M57" s="6">
        <v>4209200</v>
      </c>
      <c r="N57" s="6">
        <v>4811900</v>
      </c>
      <c r="O57" s="6">
        <v>3190200</v>
      </c>
      <c r="P57" s="6">
        <v>1871200</v>
      </c>
      <c r="Q57" s="6">
        <v>3511000</v>
      </c>
      <c r="R57" s="6">
        <v>3418100</v>
      </c>
      <c r="S57" s="6">
        <v>3734800</v>
      </c>
      <c r="T57" s="6">
        <v>2456400</v>
      </c>
      <c r="U57" s="6">
        <v>16421460</v>
      </c>
    </row>
    <row r="58" spans="1:21" x14ac:dyDescent="0.45">
      <c r="A58" t="s">
        <v>70</v>
      </c>
      <c r="B58" t="s">
        <v>13</v>
      </c>
      <c r="C58" s="4">
        <v>1133833</v>
      </c>
      <c r="E58" s="4">
        <v>2217</v>
      </c>
      <c r="F58" s="5"/>
      <c r="H58" t="s">
        <v>14</v>
      </c>
      <c r="J58" s="6">
        <v>1214900</v>
      </c>
      <c r="K58" s="6">
        <v>1540200</v>
      </c>
      <c r="L58" s="6">
        <v>3909700</v>
      </c>
      <c r="M58" s="6">
        <v>3826300</v>
      </c>
      <c r="N58" s="6">
        <v>2432100</v>
      </c>
      <c r="O58" s="6">
        <v>2163900</v>
      </c>
      <c r="P58" s="6">
        <v>1942600</v>
      </c>
      <c r="Q58" s="6">
        <v>3797000</v>
      </c>
      <c r="R58" s="6">
        <v>2711700</v>
      </c>
      <c r="S58" s="6">
        <v>3405000</v>
      </c>
      <c r="T58" s="6">
        <v>1744800</v>
      </c>
      <c r="U58" s="6">
        <v>4022040</v>
      </c>
    </row>
    <row r="59" spans="1:21" x14ac:dyDescent="0.45">
      <c r="A59" t="s">
        <v>70</v>
      </c>
      <c r="B59" t="s">
        <v>26</v>
      </c>
      <c r="C59" s="4">
        <v>713583</v>
      </c>
      <c r="E59" s="4">
        <v>1980</v>
      </c>
      <c r="F59" s="5"/>
      <c r="H59" t="s">
        <v>27</v>
      </c>
      <c r="J59" s="6">
        <v>2263900</v>
      </c>
      <c r="K59" s="6">
        <v>2092300</v>
      </c>
      <c r="L59" s="6">
        <v>2350900</v>
      </c>
      <c r="M59" s="6">
        <v>1887000</v>
      </c>
      <c r="N59" s="6">
        <v>4907600</v>
      </c>
      <c r="O59" s="6">
        <v>3020900</v>
      </c>
      <c r="P59" s="6">
        <v>4172300</v>
      </c>
      <c r="Q59" s="6">
        <v>4787400</v>
      </c>
      <c r="R59" s="6">
        <v>3587600</v>
      </c>
      <c r="S59" s="6">
        <v>4194500</v>
      </c>
      <c r="T59" s="6">
        <v>4887100</v>
      </c>
      <c r="U59" s="6">
        <v>9058170</v>
      </c>
    </row>
    <row r="60" spans="1:21" x14ac:dyDescent="0.45">
      <c r="A60" t="s">
        <v>70</v>
      </c>
      <c r="B60" t="s">
        <v>45</v>
      </c>
      <c r="C60" s="4">
        <v>329856</v>
      </c>
      <c r="E60" s="4">
        <v>3037</v>
      </c>
      <c r="F60" s="5"/>
      <c r="H60" t="s">
        <v>46</v>
      </c>
      <c r="J60" s="6">
        <v>1350700</v>
      </c>
      <c r="K60" s="6">
        <v>4842100</v>
      </c>
      <c r="L60" s="6">
        <v>1822000</v>
      </c>
      <c r="M60" s="6">
        <v>1096500</v>
      </c>
      <c r="N60" s="6">
        <v>2594200</v>
      </c>
      <c r="O60" s="6">
        <v>1979100</v>
      </c>
      <c r="P60" s="6">
        <v>3218800</v>
      </c>
      <c r="Q60" s="6">
        <v>1164400</v>
      </c>
      <c r="R60" s="6">
        <v>3589900</v>
      </c>
      <c r="S60" s="6">
        <v>1444200</v>
      </c>
      <c r="T60" s="6">
        <v>1841000</v>
      </c>
      <c r="U60" s="6">
        <v>4124340</v>
      </c>
    </row>
    <row r="61" spans="1:21" x14ac:dyDescent="0.45">
      <c r="A61" t="s">
        <v>67</v>
      </c>
      <c r="B61" t="s">
        <v>8</v>
      </c>
      <c r="C61" s="4">
        <v>1522640</v>
      </c>
      <c r="E61" s="4">
        <v>11314</v>
      </c>
      <c r="F61" s="5"/>
      <c r="H61" t="s">
        <v>8</v>
      </c>
      <c r="J61" s="6">
        <v>1636100</v>
      </c>
      <c r="K61" s="6">
        <v>3924500</v>
      </c>
      <c r="L61" s="6">
        <v>1763900</v>
      </c>
      <c r="M61" s="6">
        <v>3014000</v>
      </c>
      <c r="N61" s="6">
        <v>2005300</v>
      </c>
      <c r="O61" s="6">
        <v>1902700</v>
      </c>
      <c r="P61" s="6">
        <v>3800400</v>
      </c>
      <c r="Q61" s="6">
        <v>4928100</v>
      </c>
      <c r="R61" s="6">
        <v>1628300</v>
      </c>
      <c r="S61" s="6">
        <v>1371000</v>
      </c>
      <c r="T61" s="6">
        <v>2072500</v>
      </c>
      <c r="U61" s="6">
        <v>10869870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C613-4F6F-44AC-A110-BEEEC596285A}">
  <dimension ref="A2:I24"/>
  <sheetViews>
    <sheetView showGridLines="0" workbookViewId="0">
      <selection activeCell="H6" sqref="H6"/>
    </sheetView>
  </sheetViews>
  <sheetFormatPr baseColWidth="10" defaultRowHeight="19.2" x14ac:dyDescent="0.45"/>
  <cols>
    <col min="1" max="1" width="2.6328125" style="36" customWidth="1"/>
    <col min="2" max="2" width="21.81640625" style="37" customWidth="1"/>
    <col min="3" max="4" width="21.26953125" style="37" customWidth="1"/>
    <col min="5" max="5" width="16.453125" style="37" customWidth="1"/>
    <col min="6" max="6" width="22.36328125" style="37" customWidth="1"/>
    <col min="7" max="7" width="16.6328125" style="37" customWidth="1"/>
    <col min="8" max="8" width="21.08984375" style="37" customWidth="1"/>
    <col min="9" max="9" width="21.81640625" style="37" customWidth="1"/>
    <col min="10" max="16384" width="10.90625" style="37"/>
  </cols>
  <sheetData>
    <row r="2" spans="2:9" x14ac:dyDescent="0.45">
      <c r="B2" s="58" t="s">
        <v>131</v>
      </c>
      <c r="C2" s="58"/>
    </row>
    <row r="3" spans="2:9" x14ac:dyDescent="0.45">
      <c r="B3" s="58"/>
      <c r="C3" s="58"/>
    </row>
    <row r="5" spans="2:9" ht="19.8" thickBot="1" x14ac:dyDescent="0.5"/>
    <row r="6" spans="2:9" ht="19.8" thickBot="1" x14ac:dyDescent="0.5">
      <c r="B6" s="37" t="s">
        <v>128</v>
      </c>
      <c r="C6" s="38">
        <v>535</v>
      </c>
    </row>
    <row r="7" spans="2:9" ht="19.8" thickBot="1" x14ac:dyDescent="0.5"/>
    <row r="8" spans="2:9" x14ac:dyDescent="0.45">
      <c r="B8" s="39" t="s">
        <v>106</v>
      </c>
      <c r="C8" s="40" t="s">
        <v>124</v>
      </c>
      <c r="D8" s="40" t="s">
        <v>127</v>
      </c>
      <c r="E8" s="40" t="s">
        <v>120</v>
      </c>
      <c r="F8" s="40" t="s">
        <v>121</v>
      </c>
      <c r="G8" s="40" t="s">
        <v>122</v>
      </c>
      <c r="H8" s="40" t="s">
        <v>129</v>
      </c>
      <c r="I8" s="41" t="s">
        <v>130</v>
      </c>
    </row>
    <row r="9" spans="2:9" x14ac:dyDescent="0.45">
      <c r="B9" s="42" t="s">
        <v>107</v>
      </c>
      <c r="C9" s="43">
        <f>SUM(Spain[ENE])</f>
        <v>141726700</v>
      </c>
      <c r="D9" s="44">
        <f>C9*$C$6</f>
        <v>75823784500</v>
      </c>
      <c r="E9" s="45">
        <f>C9/$C$22</f>
        <v>6.286133022089542E-2</v>
      </c>
      <c r="F9" s="44">
        <f>D9</f>
        <v>75823784500</v>
      </c>
      <c r="G9" s="45">
        <f>E9</f>
        <v>6.286133022089542E-2</v>
      </c>
      <c r="H9" s="46">
        <f>D9/$C$24</f>
        <v>1598.4731422271577</v>
      </c>
      <c r="I9" s="47">
        <f>C9/$C$24</f>
        <v>2.9878002658451548</v>
      </c>
    </row>
    <row r="10" spans="2:9" x14ac:dyDescent="0.45">
      <c r="B10" s="42" t="s">
        <v>108</v>
      </c>
      <c r="C10" s="43">
        <f>SUM(Spain[FEB])</f>
        <v>168743300</v>
      </c>
      <c r="D10" s="44">
        <f t="shared" ref="D10:D20" si="0">C10*$C$6</f>
        <v>90277665500</v>
      </c>
      <c r="E10" s="45">
        <f t="shared" ref="E10:E20" si="1">C10/$C$22</f>
        <v>7.4844248147057826E-2</v>
      </c>
      <c r="F10" s="44">
        <f>F9+D10</f>
        <v>166101450000</v>
      </c>
      <c r="G10" s="45">
        <f>G9+E10</f>
        <v>0.13770557836795325</v>
      </c>
      <c r="H10" s="46">
        <f t="shared" ref="H10:H20" si="2">D10/$C$24</f>
        <v>1903.1814963643403</v>
      </c>
      <c r="I10" s="47">
        <f t="shared" ref="I10:I20" si="3">C10/$C$24</f>
        <v>3.5573485913352156</v>
      </c>
    </row>
    <row r="11" spans="2:9" x14ac:dyDescent="0.45">
      <c r="B11" s="42" t="s">
        <v>109</v>
      </c>
      <c r="C11" s="43">
        <f>SUM(Spain[MAR])</f>
        <v>158514600</v>
      </c>
      <c r="D11" s="44">
        <f t="shared" si="0"/>
        <v>84805311000</v>
      </c>
      <c r="E11" s="45">
        <f t="shared" si="1"/>
        <v>7.0307419952861022E-2</v>
      </c>
      <c r="F11" s="44">
        <f t="shared" ref="F11:F20" si="4">F10+D11</f>
        <v>250906761000</v>
      </c>
      <c r="G11" s="45">
        <f t="shared" ref="G11:G20" si="5">G10+E11</f>
        <v>0.20801299832081427</v>
      </c>
      <c r="H11" s="46">
        <f t="shared" si="2"/>
        <v>1787.8164858906684</v>
      </c>
      <c r="I11" s="47">
        <f t="shared" si="3"/>
        <v>3.3417130577395673</v>
      </c>
    </row>
    <row r="12" spans="2:9" x14ac:dyDescent="0.45">
      <c r="B12" s="42" t="s">
        <v>110</v>
      </c>
      <c r="C12" s="43">
        <f>SUM(Spain[ABR])</f>
        <v>172883200</v>
      </c>
      <c r="D12" s="44">
        <f t="shared" si="0"/>
        <v>92492512000</v>
      </c>
      <c r="E12" s="45">
        <f t="shared" si="1"/>
        <v>7.6680455587021398E-2</v>
      </c>
      <c r="F12" s="44">
        <f t="shared" si="4"/>
        <v>343399273000</v>
      </c>
      <c r="G12" s="45">
        <f t="shared" si="5"/>
        <v>0.28469345390783568</v>
      </c>
      <c r="H12" s="46">
        <f t="shared" si="2"/>
        <v>1949.8736084470052</v>
      </c>
      <c r="I12" s="47">
        <f t="shared" si="3"/>
        <v>3.6446235671906635</v>
      </c>
    </row>
    <row r="13" spans="2:9" x14ac:dyDescent="0.45">
      <c r="B13" s="42" t="s">
        <v>111</v>
      </c>
      <c r="C13" s="43">
        <f>SUM(Spain[MAY])</f>
        <v>162138600</v>
      </c>
      <c r="D13" s="44">
        <f t="shared" si="0"/>
        <v>86744151000</v>
      </c>
      <c r="E13" s="45">
        <f t="shared" si="1"/>
        <v>7.1914805581119665E-2</v>
      </c>
      <c r="F13" s="44">
        <f t="shared" si="4"/>
        <v>430143424000</v>
      </c>
      <c r="G13" s="45">
        <f t="shared" si="5"/>
        <v>0.35660825948895536</v>
      </c>
      <c r="H13" s="46">
        <f t="shared" si="2"/>
        <v>1828.6899886775902</v>
      </c>
      <c r="I13" s="47">
        <f t="shared" si="3"/>
        <v>3.4181121283693274</v>
      </c>
    </row>
    <row r="14" spans="2:9" x14ac:dyDescent="0.45">
      <c r="B14" s="42" t="s">
        <v>112</v>
      </c>
      <c r="C14" s="43">
        <f>SUM(Spain[JUN])</f>
        <v>150756100</v>
      </c>
      <c r="D14" s="44">
        <f t="shared" si="0"/>
        <v>80654513500</v>
      </c>
      <c r="E14" s="45">
        <f t="shared" si="1"/>
        <v>6.6866221995674283E-2</v>
      </c>
      <c r="F14" s="44">
        <f t="shared" si="4"/>
        <v>510797937500</v>
      </c>
      <c r="G14" s="45">
        <f t="shared" si="5"/>
        <v>0.42347448148462963</v>
      </c>
      <c r="H14" s="46">
        <f t="shared" si="2"/>
        <v>1700.3117752470889</v>
      </c>
      <c r="I14" s="47">
        <f t="shared" si="3"/>
        <v>3.1781528509291381</v>
      </c>
    </row>
    <row r="15" spans="2:9" x14ac:dyDescent="0.45">
      <c r="B15" s="42" t="s">
        <v>113</v>
      </c>
      <c r="C15" s="43">
        <f>SUM(Spain[JUL])</f>
        <v>155469100</v>
      </c>
      <c r="D15" s="44">
        <f t="shared" si="0"/>
        <v>83175968500</v>
      </c>
      <c r="E15" s="45">
        <f t="shared" si="1"/>
        <v>6.8956621682755695E-2</v>
      </c>
      <c r="F15" s="44">
        <f t="shared" si="4"/>
        <v>593973906000</v>
      </c>
      <c r="G15" s="45">
        <f t="shared" si="5"/>
        <v>0.49243110316738531</v>
      </c>
      <c r="H15" s="46">
        <f t="shared" si="2"/>
        <v>1753.4676302787564</v>
      </c>
      <c r="I15" s="47">
        <f t="shared" si="3"/>
        <v>3.2775095893060864</v>
      </c>
    </row>
    <row r="16" spans="2:9" x14ac:dyDescent="0.45">
      <c r="B16" s="42" t="s">
        <v>114</v>
      </c>
      <c r="C16" s="43">
        <f>SUM(Spain[AGO])</f>
        <v>168120800</v>
      </c>
      <c r="D16" s="44">
        <f t="shared" si="0"/>
        <v>89944628000</v>
      </c>
      <c r="E16" s="45">
        <f t="shared" si="1"/>
        <v>7.456814506935612E-2</v>
      </c>
      <c r="F16" s="44">
        <f t="shared" si="4"/>
        <v>683918534000</v>
      </c>
      <c r="G16" s="45">
        <f t="shared" si="5"/>
        <v>0.56699924823674142</v>
      </c>
      <c r="H16" s="46">
        <f t="shared" si="2"/>
        <v>1896.1605925329775</v>
      </c>
      <c r="I16" s="47">
        <f t="shared" si="3"/>
        <v>3.544225406603696</v>
      </c>
    </row>
    <row r="17" spans="1:9" x14ac:dyDescent="0.45">
      <c r="B17" s="42" t="s">
        <v>115</v>
      </c>
      <c r="C17" s="43">
        <f>SUM(Spain[SEP])</f>
        <v>170918600</v>
      </c>
      <c r="D17" s="44">
        <f t="shared" si="0"/>
        <v>91441451000</v>
      </c>
      <c r="E17" s="45">
        <f t="shared" si="1"/>
        <v>7.5809078709185601E-2</v>
      </c>
      <c r="F17" s="44">
        <f t="shared" si="4"/>
        <v>775359985000</v>
      </c>
      <c r="G17" s="45">
        <f t="shared" si="5"/>
        <v>0.64280832694592704</v>
      </c>
      <c r="H17" s="46">
        <f t="shared" si="2"/>
        <v>1927.7157487408278</v>
      </c>
      <c r="I17" s="47">
        <f t="shared" si="3"/>
        <v>3.6032070069922013</v>
      </c>
    </row>
    <row r="18" spans="1:9" x14ac:dyDescent="0.45">
      <c r="B18" s="42" t="s">
        <v>116</v>
      </c>
      <c r="C18" s="43">
        <f>SUM(Spain[OCT])</f>
        <v>162346400</v>
      </c>
      <c r="D18" s="44">
        <f t="shared" si="0"/>
        <v>86855324000</v>
      </c>
      <c r="E18" s="45">
        <f t="shared" si="1"/>
        <v>7.200697300207777E-2</v>
      </c>
      <c r="F18" s="44">
        <f t="shared" si="4"/>
        <v>862215309000</v>
      </c>
      <c r="G18" s="45">
        <f t="shared" si="5"/>
        <v>0.71481529994800486</v>
      </c>
      <c r="H18" s="46">
        <f t="shared" si="2"/>
        <v>1831.0336735228227</v>
      </c>
      <c r="I18" s="47">
        <f t="shared" si="3"/>
        <v>3.4224928477062107</v>
      </c>
    </row>
    <row r="19" spans="1:9" x14ac:dyDescent="0.45">
      <c r="B19" s="42" t="s">
        <v>117</v>
      </c>
      <c r="C19" s="43">
        <f>SUM(Spain[NOV])</f>
        <v>169784400</v>
      </c>
      <c r="D19" s="44">
        <f t="shared" si="0"/>
        <v>90834654000</v>
      </c>
      <c r="E19" s="45">
        <f t="shared" si="1"/>
        <v>7.5306016683917676E-2</v>
      </c>
      <c r="F19" s="44">
        <f t="shared" si="4"/>
        <v>953049963000</v>
      </c>
      <c r="G19" s="45">
        <f t="shared" si="5"/>
        <v>0.79012131663192253</v>
      </c>
      <c r="H19" s="46">
        <f t="shared" si="2"/>
        <v>1914.9236055672829</v>
      </c>
      <c r="I19" s="47">
        <f t="shared" si="3"/>
        <v>3.5792964590042673</v>
      </c>
    </row>
    <row r="20" spans="1:9" ht="19.8" thickBot="1" x14ac:dyDescent="0.5">
      <c r="B20" s="48" t="s">
        <v>118</v>
      </c>
      <c r="C20" s="49">
        <f>SUM(Spain[DIC])</f>
        <v>473190960</v>
      </c>
      <c r="D20" s="50">
        <f t="shared" si="0"/>
        <v>253157163600</v>
      </c>
      <c r="E20" s="51">
        <f t="shared" si="1"/>
        <v>0.20987868336807752</v>
      </c>
      <c r="F20" s="50">
        <f t="shared" si="4"/>
        <v>1206207126600</v>
      </c>
      <c r="G20" s="51">
        <f t="shared" si="5"/>
        <v>1</v>
      </c>
      <c r="H20" s="52">
        <f t="shared" si="2"/>
        <v>5336.9128096871327</v>
      </c>
      <c r="I20" s="53">
        <f t="shared" si="3"/>
        <v>9.975537962032023</v>
      </c>
    </row>
    <row r="21" spans="1:9" ht="9.6" customHeight="1" thickBot="1" x14ac:dyDescent="0.5">
      <c r="A21" s="37"/>
    </row>
    <row r="22" spans="1:9" ht="19.8" thickBot="1" x14ac:dyDescent="0.5">
      <c r="B22" s="54" t="s">
        <v>119</v>
      </c>
      <c r="C22" s="55">
        <f>SUM(C9:C20)</f>
        <v>2254592760</v>
      </c>
      <c r="D22" s="56"/>
    </row>
    <row r="23" spans="1:9" ht="19.8" thickBot="1" x14ac:dyDescent="0.5">
      <c r="B23" s="54" t="s">
        <v>126</v>
      </c>
      <c r="C23" s="55">
        <f>AVERAGE(C9:C20)</f>
        <v>187882730</v>
      </c>
      <c r="D23" s="56"/>
    </row>
    <row r="24" spans="1:9" ht="19.8" thickBot="1" x14ac:dyDescent="0.5">
      <c r="B24" s="57" t="s">
        <v>125</v>
      </c>
      <c r="C24" s="55">
        <f>SUM(Spain[Población])</f>
        <v>47435132</v>
      </c>
      <c r="D24" s="56"/>
    </row>
  </sheetData>
  <sheetProtection password="CF68" sheet="1" objects="1" scenarios="1" selectLockedCells="1" selectUnlockedCells="1"/>
  <mergeCells count="1">
    <mergeCell ref="B2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2C8B-54B2-46A3-ACCE-1F5B3F0EFB6A}">
  <dimension ref="A1"/>
  <sheetViews>
    <sheetView workbookViewId="0"/>
  </sheetViews>
  <sheetFormatPr baseColWidth="10" defaultRowHeight="19.2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EJERCICIO</vt:lpstr>
      <vt:lpstr>SOLUCION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delatorrerita</dc:creator>
  <cp:lastModifiedBy>delatorrerita</cp:lastModifiedBy>
  <dcterms:created xsi:type="dcterms:W3CDTF">2022-08-09T16:09:29Z</dcterms:created>
  <dcterms:modified xsi:type="dcterms:W3CDTF">2026-01-13T12:04:20Z</dcterms:modified>
</cp:coreProperties>
</file>
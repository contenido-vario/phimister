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@1Formacion\Phimister\"/>
    </mc:Choice>
  </mc:AlternateContent>
  <xr:revisionPtr revIDLastSave="0" documentId="8_{936D3821-40EE-47F1-9608-EFC1BA0FEE82}" xr6:coauthVersionLast="36" xr6:coauthVersionMax="36" xr10:uidLastSave="{00000000-0000-0000-0000-000000000000}"/>
  <bookViews>
    <workbookView xWindow="0" yWindow="0" windowWidth="23040" windowHeight="8964" xr2:uid="{00000000-000D-0000-FFFF-FFFF00000000}"/>
  </bookViews>
  <sheets>
    <sheet name="Si sencillos" sheetId="4" r:id="rId1"/>
    <sheet name="Si anidados" sheetId="1" r:id="rId2"/>
    <sheet name="Y - O - Buscarv" sheetId="2" r:id="rId3"/>
  </sheets>
  <definedNames>
    <definedName name="actividades">'Y - O - Buscarv'!$A$85:$F$93</definedName>
    <definedName name="deudas">'Y - O - Buscarv'!$C$38:$D$41</definedName>
    <definedName name="precaucion">'Si anidados'!$G$51:$H$53</definedName>
    <definedName name="socios">'Y - O - Buscarv'!$A$27:$H$34</definedName>
    <definedName name="socios2">'Y - O - Buscarv'!$A$74:$D$81</definedName>
  </definedNames>
  <calcPr calcId="191029"/>
</workbook>
</file>

<file path=xl/calcChain.xml><?xml version="1.0" encoding="utf-8"?>
<calcChain xmlns="http://schemas.openxmlformats.org/spreadsheetml/2006/main">
  <c r="C7" i="2" l="1"/>
  <c r="C8" i="2"/>
  <c r="C9" i="2"/>
  <c r="C10" i="2"/>
  <c r="C11" i="2"/>
  <c r="C12" i="2"/>
  <c r="C13" i="2"/>
  <c r="C14" i="2"/>
  <c r="C17" i="2"/>
  <c r="D17" i="2"/>
  <c r="C18" i="2"/>
  <c r="D18" i="2"/>
  <c r="C19" i="2"/>
  <c r="D19" i="2"/>
  <c r="C20" i="2"/>
  <c r="D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delatorrerita</author>
  </authors>
  <commentList>
    <comment ref="E3" authorId="0" shapeId="0" xr:uid="{F49B92E0-362A-4E3E-8940-4A479D3F796A}">
      <text>
        <r>
          <rPr>
            <sz val="9"/>
            <color indexed="81"/>
            <rFont val="Tahoma"/>
            <family val="2"/>
          </rPr>
          <t>=PROMEDIO(B4:D4)</t>
        </r>
      </text>
    </comment>
    <comment ref="F3" authorId="0" shapeId="0" xr:uid="{2377BFBB-4ED9-471E-8207-3EFD4C4F36A1}">
      <text>
        <r>
          <rPr>
            <sz val="9"/>
            <color indexed="81"/>
            <rFont val="Tahoma"/>
            <family val="2"/>
          </rPr>
          <t xml:space="preserve">=SI(E4&gt;=5;"Aprobado";"Recupera")
</t>
        </r>
      </text>
    </comment>
    <comment ref="H3" authorId="0" shapeId="0" xr:uid="{B75CC74F-1C17-4FEF-9061-94C405FC5F30}">
      <text>
        <r>
          <rPr>
            <sz val="9"/>
            <color indexed="81"/>
            <rFont val="Tahoma"/>
            <family val="2"/>
          </rPr>
          <t xml:space="preserve">=MAX(E4:E10)
</t>
        </r>
      </text>
    </comment>
    <comment ref="H6" authorId="0" shapeId="0" xr:uid="{5A88E4F3-2DE8-4593-A49E-181DC3C8A912}">
      <text>
        <r>
          <rPr>
            <sz val="9"/>
            <color indexed="81"/>
            <rFont val="Tahoma"/>
            <family val="2"/>
          </rPr>
          <t xml:space="preserve">=MIN(E4:E10)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delatorrerita</author>
  </authors>
  <commentList>
    <comment ref="G3" authorId="0" shapeId="0" xr:uid="{E1DDB72A-9854-426D-B312-00ADC557F340}">
      <text>
        <r>
          <rPr>
            <b/>
            <sz val="9"/>
            <color indexed="81"/>
            <rFont val="Tahoma"/>
            <family val="2"/>
          </rPr>
          <t>delatorrerita:</t>
        </r>
        <r>
          <rPr>
            <sz val="9"/>
            <color indexed="81"/>
            <rFont val="Tahoma"/>
            <family val="2"/>
          </rPr>
          <t xml:space="preserve">
Solo cuenta números
</t>
        </r>
      </text>
    </comment>
    <comment ref="E5" authorId="0" shapeId="0" xr:uid="{7AB4C062-60AD-457E-8C65-9C5EE451E2F0}">
      <text>
        <r>
          <rPr>
            <sz val="9"/>
            <color indexed="81"/>
            <rFont val="Tahoma"/>
            <family val="2"/>
          </rPr>
          <t>=SI(D6="A";"Máxima precaución";"Precaución moderada")</t>
        </r>
      </text>
    </comment>
    <comment ref="G7" authorId="0" shapeId="0" xr:uid="{7CAECC35-85B3-4EE7-9FE9-360EABE08D11}">
      <text>
        <r>
          <rPr>
            <b/>
            <sz val="9"/>
            <color indexed="81"/>
            <rFont val="Tahoma"/>
            <family val="2"/>
          </rPr>
          <t>delatorrerita:</t>
        </r>
        <r>
          <rPr>
            <sz val="9"/>
            <color indexed="81"/>
            <rFont val="Tahoma"/>
            <family val="2"/>
          </rPr>
          <t xml:space="preserve">
Cuenta celdas vacías</t>
        </r>
      </text>
    </comment>
    <comment ref="F16" authorId="0" shapeId="0" xr:uid="{641C1395-D522-49C1-A3B2-6632DA98F87E}">
      <text>
        <r>
          <rPr>
            <sz val="9"/>
            <color indexed="81"/>
            <rFont val="Tahoma"/>
            <family val="2"/>
          </rPr>
          <t xml:space="preserve">Usar </t>
        </r>
        <r>
          <rPr>
            <b/>
            <sz val="9"/>
            <color indexed="81"/>
            <rFont val="Tahoma"/>
            <family val="2"/>
          </rPr>
          <t>CONTAR.SI</t>
        </r>
        <r>
          <rPr>
            <sz val="9"/>
            <color indexed="81"/>
            <rFont val="Tahoma"/>
            <family val="2"/>
          </rPr>
          <t xml:space="preserve">
el resultado deberá dar </t>
        </r>
        <r>
          <rPr>
            <b/>
            <sz val="9"/>
            <color indexed="81"/>
            <rFont val="Tahoma"/>
            <family val="2"/>
          </rPr>
          <t>4</t>
        </r>
      </text>
    </comment>
    <comment ref="F17" authorId="0" shapeId="0" xr:uid="{E47B681D-B0B7-4FDA-B1F9-638D7D55389F}">
      <text>
        <r>
          <rPr>
            <sz val="9"/>
            <color indexed="81"/>
            <rFont val="Tahoma"/>
            <family val="2"/>
          </rPr>
          <t xml:space="preserve">Usar </t>
        </r>
        <r>
          <rPr>
            <b/>
            <sz val="9"/>
            <color indexed="81"/>
            <rFont val="Tahoma"/>
            <family val="2"/>
          </rPr>
          <t xml:space="preserve">SUMAR.SI
</t>
        </r>
        <r>
          <rPr>
            <sz val="9"/>
            <color indexed="81"/>
            <rFont val="Tahoma"/>
            <family val="2"/>
          </rPr>
          <t xml:space="preserve">el resultado deberá dar </t>
        </r>
        <r>
          <rPr>
            <b/>
            <sz val="9"/>
            <color indexed="81"/>
            <rFont val="Tahoma"/>
            <family val="2"/>
          </rPr>
          <t>56.980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7" authorId="0" shapeId="0" xr:uid="{6CB19557-8696-47AA-BB23-57369DA41954}">
      <text>
        <r>
          <rPr>
            <sz val="10"/>
            <color indexed="81"/>
            <rFont val="Tahoma"/>
            <family val="2"/>
          </rPr>
          <t xml:space="preserve">'=SI(CONTARA(B27:D27)&gt;=2 ; 10 ; SI(CONTARA(B27:D27)=1 ; 9 ; 8))
</t>
        </r>
        <r>
          <rPr>
            <b/>
            <sz val="10"/>
            <color indexed="16"/>
            <rFont val="Tahoma"/>
            <family val="2"/>
          </rPr>
          <t>CONTARA</t>
        </r>
        <r>
          <rPr>
            <sz val="10"/>
            <color indexed="81"/>
            <rFont val="Tahoma"/>
            <family val="2"/>
          </rPr>
          <t xml:space="preserve"> cuenta celdas llenas hay en un rango.</t>
        </r>
      </text>
    </comment>
    <comment ref="H48" authorId="0" shapeId="0" xr:uid="{B09C56AA-31C4-4382-BDCA-89CA3977DE7D}">
      <text>
        <r>
          <rPr>
            <sz val="9"/>
            <color indexed="81"/>
            <rFont val="Tahoma"/>
            <family val="2"/>
          </rPr>
          <t xml:space="preserve">Llamar a esta celda </t>
        </r>
        <r>
          <rPr>
            <b/>
            <sz val="9"/>
            <color indexed="81"/>
            <rFont val="Tahoma"/>
            <family val="2"/>
          </rPr>
          <t>CRITERIO</t>
        </r>
        <r>
          <rPr>
            <sz val="9"/>
            <color indexed="81"/>
            <rFont val="Tahoma"/>
            <family val="2"/>
          </rPr>
          <t xml:space="preserve">
="&gt;" &amp; $G$48
</t>
        </r>
      </text>
    </comment>
    <comment ref="F56" authorId="0" shapeId="0" xr:uid="{DB09A615-2FF6-401F-B834-200874647910}">
      <text>
        <r>
          <rPr>
            <sz val="9"/>
            <color indexed="81"/>
            <rFont val="Tahoma"/>
            <family val="2"/>
          </rPr>
          <t xml:space="preserve">=CONTAR.SI(C46:C54 ; CRITERIO )
</t>
        </r>
      </text>
    </comment>
    <comment ref="F58" authorId="0" shapeId="0" xr:uid="{9C8394C4-EB54-4968-94E4-74EBCC528F34}">
      <text>
        <r>
          <rPr>
            <sz val="9"/>
            <color indexed="81"/>
            <rFont val="Tahoma"/>
            <family val="2"/>
          </rPr>
          <t xml:space="preserve">=SUMAR.SI.CONJUNTO(B46:B54;D46:D54;"A")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delatorrerita</author>
  </authors>
  <commentList>
    <comment ref="C6" authorId="0" shapeId="0" xr:uid="{E46C7D4F-F807-436B-9B37-A6DE56ABF709}">
      <text>
        <r>
          <rPr>
            <b/>
            <sz val="9"/>
            <color indexed="81"/>
            <rFont val="Tahoma"/>
            <family val="2"/>
          </rPr>
          <t>=SI(Y(A6&lt;16;B6&gt;1,8);"Volley";"Entrevista")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" authorId="0" shapeId="0" xr:uid="{6E8B3D8D-FF89-4FB7-8895-99FAB3C6CAC2}">
      <text>
        <r>
          <rPr>
            <b/>
            <sz val="9"/>
            <color indexed="81"/>
            <rFont val="Tahoma"/>
            <family val="2"/>
          </rPr>
          <t>= Y(A16="x";B16="x")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" authorId="0" shapeId="0" xr:uid="{A6045DE4-F8CC-41F9-9324-8CD7B42450AE}">
      <text>
        <r>
          <rPr>
            <sz val="9"/>
            <color indexed="81"/>
            <rFont val="Tahoma"/>
            <family val="2"/>
          </rPr>
          <t>=</t>
        </r>
        <r>
          <rPr>
            <b/>
            <sz val="9"/>
            <color indexed="81"/>
            <rFont val="Tahoma"/>
            <family val="2"/>
          </rPr>
          <t>O(A16="x";B16="x")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6" authorId="0" shapeId="0" xr:uid="{2EC01641-085A-4C0A-B70B-C6419CDD45E1}">
      <text>
        <r>
          <rPr>
            <sz val="9"/>
            <color indexed="81"/>
            <rFont val="Tahoma"/>
            <family val="2"/>
          </rPr>
          <t>=BUSCARV(F27;</t>
        </r>
        <r>
          <rPr>
            <b/>
            <sz val="9"/>
            <color indexed="81"/>
            <rFont val="Tahoma"/>
            <family val="2"/>
          </rPr>
          <t>deudas</t>
        </r>
        <r>
          <rPr>
            <sz val="9"/>
            <color indexed="81"/>
            <rFont val="Tahoma"/>
            <family val="2"/>
          </rPr>
          <t xml:space="preserve">;2;FALSO)*D27
</t>
        </r>
      </text>
    </comment>
    <comment ref="H26" authorId="0" shapeId="0" xr:uid="{C8A0B6B8-50FA-4A56-BA48-B2DBB17971CF}">
      <text>
        <r>
          <rPr>
            <sz val="9"/>
            <color indexed="81"/>
            <rFont val="Tahoma"/>
            <family val="2"/>
          </rPr>
          <t xml:space="preserve">=SI(E27&gt;10;G27*0,9;G27)
</t>
        </r>
      </text>
    </comment>
    <comment ref="H40" authorId="0" shapeId="0" xr:uid="{B12BA7F2-B18D-431D-B2F1-AFCB9582899C}">
      <text>
        <r>
          <rPr>
            <sz val="9"/>
            <color indexed="81"/>
            <rFont val="Tahoma"/>
            <family val="2"/>
          </rPr>
          <t xml:space="preserve">=BUSCARV(H39;socios;2;FALSO)
</t>
        </r>
      </text>
    </comment>
    <comment ref="E53" authorId="0" shapeId="0" xr:uid="{80E40902-91C9-4EFD-A554-84458A77E6A7}">
      <text>
        <r>
          <rPr>
            <sz val="9"/>
            <color indexed="81"/>
            <rFont val="Tahoma"/>
            <family val="2"/>
          </rPr>
          <t xml:space="preserve">=SI(Y(B54&lt;40000;O(C54&gt;4000 ; D54&gt;90)); "A" ; SI(Y(B54&gt;=40000 ; C54&gt;4500); "B" ; "C"))
</t>
        </r>
      </text>
    </comment>
    <comment ref="H77" authorId="0" shapeId="0" xr:uid="{B226AB3A-0FE7-453F-9541-1446176B16A8}">
      <text>
        <r>
          <rPr>
            <sz val="9"/>
            <color indexed="81"/>
            <rFont val="Tahoma"/>
            <family val="2"/>
          </rPr>
          <t xml:space="preserve">=BUSCARV(H76;socios2;2;FALSO)
</t>
        </r>
      </text>
    </comment>
    <comment ref="H78" authorId="0" shapeId="0" xr:uid="{778AE070-9003-48CE-8DB0-5E5B962F6058}">
      <text>
        <r>
          <rPr>
            <sz val="9"/>
            <color indexed="81"/>
            <rFont val="Tahoma"/>
            <family val="2"/>
          </rPr>
          <t xml:space="preserve">=SI(BUSCARV($H$77;actividades;F78;FALSO)="";"";"X")
</t>
        </r>
      </text>
    </comment>
  </commentList>
</comments>
</file>

<file path=xl/sharedStrings.xml><?xml version="1.0" encoding="utf-8"?>
<sst xmlns="http://schemas.openxmlformats.org/spreadsheetml/2006/main" count="274" uniqueCount="159">
  <si>
    <t>Código</t>
  </si>
  <si>
    <t>Cantidad</t>
  </si>
  <si>
    <t>Precio Unit.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</si>
  <si>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</si>
  <si>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</si>
  <si>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</si>
  <si>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</si>
  <si>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</si>
  <si>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</si>
  <si>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</si>
  <si>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</si>
  <si>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</si>
  <si>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A</t>
  </si>
  <si>
    <t>B</t>
  </si>
  <si>
    <t>C</t>
  </si>
  <si>
    <t>En un depósito se encuentran almacenados distintos productos. En la tabla que</t>
  </si>
  <si>
    <t>se encuentra debajo se detallan los códigos de identificación y otras características mas.</t>
  </si>
  <si>
    <t xml:space="preserve">3. Agregar una columna en donde figuren los textos: </t>
  </si>
  <si>
    <t>"Máxima precaución" para categ. A</t>
  </si>
  <si>
    <t>"Precaución moderada" para el resto.</t>
  </si>
  <si>
    <t>Alumno</t>
  </si>
  <si>
    <t>Condición 1</t>
  </si>
  <si>
    <t>Condición 2</t>
  </si>
  <si>
    <t>Condición 3</t>
  </si>
  <si>
    <t>b</t>
  </si>
  <si>
    <t>c</t>
  </si>
  <si>
    <t>d</t>
  </si>
  <si>
    <t>e</t>
  </si>
  <si>
    <t>f</t>
  </si>
  <si>
    <t>g</t>
  </si>
  <si>
    <t>a</t>
  </si>
  <si>
    <t>x</t>
  </si>
  <si>
    <t xml:space="preserve"> </t>
  </si>
  <si>
    <t>2. Hallar la suma de la cantidad de productos que pertenecen a la categoría A (inflamables)</t>
  </si>
  <si>
    <t>Nota 1</t>
  </si>
  <si>
    <t>Nota 2</t>
  </si>
  <si>
    <t>Nota 3</t>
  </si>
  <si>
    <t>Nº de socio</t>
  </si>
  <si>
    <t>Nombre</t>
  </si>
  <si>
    <t>Edad</t>
  </si>
  <si>
    <t>Deuda/Cuotas</t>
  </si>
  <si>
    <t>Antigüedad</t>
  </si>
  <si>
    <t>Pedro Pou</t>
  </si>
  <si>
    <t>Luis Sanguineti</t>
  </si>
  <si>
    <t>Martín Gallo</t>
  </si>
  <si>
    <t>Jose Piperno</t>
  </si>
  <si>
    <t>Marcelo Tinelli</t>
  </si>
  <si>
    <t>Luisa Vehil</t>
  </si>
  <si>
    <t>Martín Redrado</t>
  </si>
  <si>
    <t>Rolando Rivas</t>
  </si>
  <si>
    <t xml:space="preserve"> =O(Valor lógico1;Valor lógico2;....)</t>
  </si>
  <si>
    <t xml:space="preserve"> =Y(Valor lógico1;Valor lógico2;...)</t>
  </si>
  <si>
    <t>Altura</t>
  </si>
  <si>
    <t xml:space="preserve">País </t>
  </si>
  <si>
    <t>Deuda externa</t>
  </si>
  <si>
    <t>PBI/Hab.</t>
  </si>
  <si>
    <t>Argentina</t>
  </si>
  <si>
    <t>Brasil</t>
  </si>
  <si>
    <t>Chile</t>
  </si>
  <si>
    <t>Uruguay</t>
  </si>
  <si>
    <t>Bolivia</t>
  </si>
  <si>
    <t>Paraguay</t>
  </si>
  <si>
    <t>Perú</t>
  </si>
  <si>
    <t>Ecuador</t>
  </si>
  <si>
    <t>Venezuela</t>
  </si>
  <si>
    <t>Colombia</t>
  </si>
  <si>
    <t>%Alfabet.</t>
  </si>
  <si>
    <t>Nº de Socio</t>
  </si>
  <si>
    <t>Futbol</t>
  </si>
  <si>
    <t>Tenis</t>
  </si>
  <si>
    <t>Natación</t>
  </si>
  <si>
    <t>Volley</t>
  </si>
  <si>
    <t>Basquet</t>
  </si>
  <si>
    <t>Categoría</t>
  </si>
  <si>
    <t>I</t>
  </si>
  <si>
    <t>J</t>
  </si>
  <si>
    <t>M</t>
  </si>
  <si>
    <t>Los dos primeros ejercicios son explicativos</t>
  </si>
  <si>
    <t>Promedio</t>
  </si>
  <si>
    <t>Promedio más alto</t>
  </si>
  <si>
    <t>Promedio más bajo</t>
  </si>
  <si>
    <t>Calificación</t>
  </si>
  <si>
    <t>CONTAR</t>
  </si>
  <si>
    <t>CONTAR.SI</t>
  </si>
  <si>
    <t>CONTAR.SI.CONJUNTO</t>
  </si>
  <si>
    <t>CONTAR.BLANCO</t>
  </si>
  <si>
    <t>SUMA</t>
  </si>
  <si>
    <t>SUMAR.SI</t>
  </si>
  <si>
    <t>SUMAR.SI.CONJUNTO</t>
  </si>
  <si>
    <t>PROMEDIO</t>
  </si>
  <si>
    <t>MIN</t>
  </si>
  <si>
    <t>MAX</t>
  </si>
  <si>
    <t>PROMEDIO.SI.CONJUNTO</t>
  </si>
  <si>
    <t>MIN.SI.CONJUNTO</t>
  </si>
  <si>
    <t>MAX.SI.CONJUNTO</t>
  </si>
  <si>
    <t>Entrevistado</t>
  </si>
  <si>
    <t>Nº cigarrillos</t>
  </si>
  <si>
    <t>no fuma</t>
  </si>
  <si>
    <t>Promedio solo</t>
  </si>
  <si>
    <t>Promedio con A</t>
  </si>
  <si>
    <t>Precaución</t>
  </si>
  <si>
    <t>Máxima precaución</t>
  </si>
  <si>
    <t>Precaución moderada</t>
  </si>
  <si>
    <t>Precaución de rutina</t>
  </si>
  <si>
    <t>Deuda</t>
  </si>
  <si>
    <t>Nº Socio</t>
  </si>
  <si>
    <t>Código país</t>
  </si>
  <si>
    <r>
      <t xml:space="preserve">1. Agregar una columna llamada </t>
    </r>
    <r>
      <rPr>
        <b/>
        <sz val="12"/>
        <rFont val="Open Sans"/>
        <family val="2"/>
      </rPr>
      <t>Valor condición</t>
    </r>
    <r>
      <rPr>
        <sz val="12"/>
        <rFont val="Open Sans"/>
        <family val="2"/>
      </rPr>
      <t xml:space="preserve"> en donde figure:</t>
    </r>
  </si>
  <si>
    <r>
      <t>CONTAR</t>
    </r>
    <r>
      <rPr>
        <b/>
        <sz val="10"/>
        <color rgb="FFFF0000"/>
        <rFont val="Open Sans"/>
        <family val="2"/>
      </rPr>
      <t>A</t>
    </r>
  </si>
  <si>
    <r>
      <t>PROMEDIO</t>
    </r>
    <r>
      <rPr>
        <b/>
        <sz val="11"/>
        <color rgb="FFFF0000"/>
        <rFont val="Open Sans"/>
        <family val="2"/>
      </rPr>
      <t>A</t>
    </r>
  </si>
  <si>
    <r>
      <t>MIN</t>
    </r>
    <r>
      <rPr>
        <b/>
        <sz val="11"/>
        <color rgb="FFFF0000"/>
        <rFont val="Open Sans"/>
        <family val="2"/>
      </rPr>
      <t>A</t>
    </r>
  </si>
  <si>
    <r>
      <t>MAX</t>
    </r>
    <r>
      <rPr>
        <b/>
        <sz val="11"/>
        <color rgb="FFFF0000"/>
        <rFont val="Open Sans"/>
        <family val="2"/>
      </rPr>
      <t>A</t>
    </r>
  </si>
  <si>
    <t>Inflamabilidad</t>
  </si>
  <si>
    <r>
      <t xml:space="preserve">1. Determinar </t>
    </r>
    <r>
      <rPr>
        <b/>
        <sz val="12"/>
        <color rgb="FFFF0000"/>
        <rFont val="Open Sans"/>
        <family val="2"/>
      </rPr>
      <t>cuántos</t>
    </r>
    <r>
      <rPr>
        <sz val="12"/>
        <rFont val="Open Sans"/>
        <family val="2"/>
      </rPr>
      <t xml:space="preserve"> tipos de productos tienen un </t>
    </r>
    <r>
      <rPr>
        <b/>
        <sz val="12"/>
        <rFont val="Open Sans"/>
        <family val="2"/>
      </rPr>
      <t xml:space="preserve">Precio Unit. </t>
    </r>
    <r>
      <rPr>
        <sz val="12"/>
        <rFont val="Open Sans"/>
        <family val="2"/>
      </rPr>
      <t>mayor a su promedio</t>
    </r>
  </si>
  <si>
    <t>Categoría Inflamable</t>
  </si>
  <si>
    <r>
      <t>"</t>
    </r>
    <r>
      <rPr>
        <b/>
        <sz val="12"/>
        <rFont val="Open Sans"/>
        <family val="2"/>
      </rPr>
      <t>Máxima precaución</t>
    </r>
    <r>
      <rPr>
        <sz val="12"/>
        <rFont val="Open Sans"/>
        <family val="2"/>
      </rPr>
      <t xml:space="preserve">" para la categoría </t>
    </r>
    <r>
      <rPr>
        <b/>
        <sz val="12"/>
        <rFont val="Open Sans"/>
        <family val="2"/>
      </rPr>
      <t>A</t>
    </r>
  </si>
  <si>
    <r>
      <t>"</t>
    </r>
    <r>
      <rPr>
        <b/>
        <sz val="12"/>
        <rFont val="Open Sans"/>
        <family val="2"/>
      </rPr>
      <t>Precaución moderada</t>
    </r>
    <r>
      <rPr>
        <sz val="12"/>
        <rFont val="Open Sans"/>
        <family val="2"/>
      </rPr>
      <t xml:space="preserve">" para  la categoría </t>
    </r>
    <r>
      <rPr>
        <b/>
        <sz val="12"/>
        <rFont val="Open Sans"/>
        <family val="2"/>
      </rPr>
      <t>B</t>
    </r>
  </si>
  <si>
    <r>
      <t>"</t>
    </r>
    <r>
      <rPr>
        <b/>
        <sz val="12"/>
        <rFont val="Open Sans"/>
        <family val="2"/>
      </rPr>
      <t>Precaución de rutina</t>
    </r>
    <r>
      <rPr>
        <sz val="12"/>
        <rFont val="Open Sans"/>
        <family val="2"/>
      </rPr>
      <t xml:space="preserve">" para  la categoría </t>
    </r>
    <r>
      <rPr>
        <b/>
        <sz val="12"/>
        <rFont val="Open Sans"/>
        <family val="2"/>
      </rPr>
      <t>C</t>
    </r>
  </si>
  <si>
    <t>Criterio</t>
  </si>
  <si>
    <t>Promedio Precio Unit.</t>
  </si>
  <si>
    <r>
      <t xml:space="preserve">10, </t>
    </r>
    <r>
      <rPr>
        <b/>
        <sz val="12"/>
        <color rgb="FFC00000"/>
        <rFont val="Open Sans"/>
        <family val="2"/>
      </rPr>
      <t>si</t>
    </r>
    <r>
      <rPr>
        <sz val="12"/>
        <rFont val="Open Sans"/>
        <family val="2"/>
      </rPr>
      <t xml:space="preserve"> posee dos o mas condiciones cualquiera.</t>
    </r>
  </si>
  <si>
    <r>
      <t xml:space="preserve">  9, </t>
    </r>
    <r>
      <rPr>
        <b/>
        <sz val="12"/>
        <color rgb="FFC00000"/>
        <rFont val="Open Sans"/>
        <family val="2"/>
      </rPr>
      <t>si</t>
    </r>
    <r>
      <rPr>
        <sz val="12"/>
        <rFont val="Open Sans"/>
        <family val="2"/>
      </rPr>
      <t xml:space="preserve"> posee al menos una condición.</t>
    </r>
  </si>
  <si>
    <r>
      <t xml:space="preserve">  8, </t>
    </r>
    <r>
      <rPr>
        <b/>
        <sz val="12"/>
        <color rgb="FFC00000"/>
        <rFont val="Open Sans"/>
        <family val="2"/>
      </rPr>
      <t>si</t>
    </r>
    <r>
      <rPr>
        <sz val="12"/>
        <rFont val="Open Sans"/>
        <family val="2"/>
      </rPr>
      <t xml:space="preserve"> no posee ninguna.</t>
    </r>
  </si>
  <si>
    <r>
      <t>1.  ¿</t>
    </r>
    <r>
      <rPr>
        <b/>
        <sz val="12"/>
        <color rgb="FFC00000"/>
        <rFont val="Open Sans"/>
        <family val="2"/>
      </rPr>
      <t>Cuántos</t>
    </r>
    <r>
      <rPr>
        <sz val="12"/>
        <rFont val="Open Sans"/>
        <family val="2"/>
      </rPr>
      <t xml:space="preserve"> tipos de productos pertenecen a la </t>
    </r>
    <r>
      <rPr>
        <b/>
        <sz val="12"/>
        <color rgb="FFC00000"/>
        <rFont val="Open Sans"/>
        <family val="2"/>
      </rPr>
      <t>categoría A de inflamabilidad</t>
    </r>
    <r>
      <rPr>
        <b/>
        <sz val="12"/>
        <color rgb="FFFF0000"/>
        <rFont val="Open Sans"/>
        <family val="2"/>
      </rPr>
      <t xml:space="preserve"> ?</t>
    </r>
  </si>
  <si>
    <r>
      <t xml:space="preserve">2. Hallar la </t>
    </r>
    <r>
      <rPr>
        <b/>
        <sz val="12"/>
        <color rgb="FFC00000"/>
        <rFont val="Open Sans"/>
        <family val="2"/>
      </rPr>
      <t>suma</t>
    </r>
    <r>
      <rPr>
        <sz val="12"/>
        <rFont val="Open Sans"/>
        <family val="2"/>
      </rPr>
      <t xml:space="preserve"> de la cantidad de productos </t>
    </r>
    <r>
      <rPr>
        <b/>
        <sz val="12"/>
        <color rgb="FFC00000"/>
        <rFont val="Open Sans"/>
        <family val="2"/>
      </rPr>
      <t>con un precio unitario menor a 0,5</t>
    </r>
  </si>
  <si>
    <r>
      <t xml:space="preserve">3. Agregar una columna denominada </t>
    </r>
    <r>
      <rPr>
        <b/>
        <sz val="12"/>
        <color rgb="FFC00000"/>
        <rFont val="Open Sans"/>
        <family val="2"/>
      </rPr>
      <t>Precaución</t>
    </r>
    <r>
      <rPr>
        <sz val="12"/>
        <rFont val="Open Sans"/>
        <family val="2"/>
      </rPr>
      <t xml:space="preserve"> en donde figuren los textos: </t>
    </r>
  </si>
  <si>
    <r>
      <t>1. Con la función</t>
    </r>
    <r>
      <rPr>
        <b/>
        <sz val="12"/>
        <color rgb="FFFF0000"/>
        <rFont val="Open Sans"/>
        <family val="2"/>
      </rPr>
      <t xml:space="preserve"> </t>
    </r>
    <r>
      <rPr>
        <b/>
        <sz val="12"/>
        <color rgb="FFC00000"/>
        <rFont val="Open Sans"/>
        <family val="2"/>
      </rPr>
      <t>ALEATORIO.ENTRE</t>
    </r>
    <r>
      <rPr>
        <sz val="12"/>
        <rFont val="Open Sans"/>
        <family val="2"/>
      </rPr>
      <t xml:space="preserve"> llenar las notas a cada alumno, </t>
    </r>
    <r>
      <rPr>
        <b/>
        <sz val="12"/>
        <color rgb="FFC00000"/>
        <rFont val="Open Sans"/>
        <family val="2"/>
      </rPr>
      <t>convertirlas en valores</t>
    </r>
    <r>
      <rPr>
        <b/>
        <sz val="12"/>
        <color rgb="FFFF0000"/>
        <rFont val="Open Sans"/>
        <family val="2"/>
      </rPr>
      <t xml:space="preserve"> </t>
    </r>
    <r>
      <rPr>
        <sz val="12"/>
        <rFont val="Open Sans"/>
        <family val="2"/>
      </rPr>
      <t>y:</t>
    </r>
  </si>
  <si>
    <r>
      <t xml:space="preserve">a.- Hallar los </t>
    </r>
    <r>
      <rPr>
        <b/>
        <sz val="12"/>
        <color rgb="FFC00000"/>
        <rFont val="Open Sans"/>
        <family val="2"/>
      </rPr>
      <t>promedios</t>
    </r>
    <r>
      <rPr>
        <sz val="12"/>
        <rFont val="Open Sans"/>
        <family val="2"/>
      </rPr>
      <t xml:space="preserve">, el </t>
    </r>
    <r>
      <rPr>
        <b/>
        <sz val="12"/>
        <color rgb="FFC00000"/>
        <rFont val="Open Sans"/>
        <family val="2"/>
      </rPr>
      <t>promedio mas alto y el mas bajo</t>
    </r>
    <r>
      <rPr>
        <sz val="12"/>
        <color rgb="FFFF0000"/>
        <rFont val="Open Sans"/>
        <family val="2"/>
      </rPr>
      <t>.</t>
    </r>
  </si>
  <si>
    <t>b.- Colocar el texto:</t>
  </si>
  <si>
    <r>
      <t>"</t>
    </r>
    <r>
      <rPr>
        <b/>
        <sz val="12"/>
        <color rgb="FFC00000"/>
        <rFont val="Open Sans"/>
        <family val="2"/>
      </rPr>
      <t>Aprobado</t>
    </r>
    <r>
      <rPr>
        <sz val="12"/>
        <rFont val="Open Sans"/>
        <family val="2"/>
      </rPr>
      <t>" a quienes tienen promedio mayor o igual a 5</t>
    </r>
  </si>
  <si>
    <r>
      <t>"</t>
    </r>
    <r>
      <rPr>
        <b/>
        <sz val="12"/>
        <color rgb="FFC00000"/>
        <rFont val="Open Sans"/>
        <family val="2"/>
      </rPr>
      <t>Recupera</t>
    </r>
    <r>
      <rPr>
        <sz val="12"/>
        <rFont val="Open Sans"/>
        <family val="2"/>
      </rPr>
      <t>", al resto.</t>
    </r>
  </si>
  <si>
    <r>
      <t xml:space="preserve">2. Agregar una columna denominada </t>
    </r>
    <r>
      <rPr>
        <b/>
        <sz val="12"/>
        <color rgb="FFC00000"/>
        <rFont val="Open Sans"/>
        <family val="2"/>
      </rPr>
      <t>Deudor</t>
    </r>
    <r>
      <rPr>
        <b/>
        <sz val="12"/>
        <rFont val="Open Sans"/>
        <family val="2"/>
      </rPr>
      <t xml:space="preserve"> </t>
    </r>
    <r>
      <rPr>
        <sz val="12"/>
        <rFont val="Open Sans"/>
        <family val="2"/>
      </rPr>
      <t>a la tabla de socios de modo que:</t>
    </r>
  </si>
  <si>
    <r>
      <rPr>
        <b/>
        <sz val="12"/>
        <color rgb="FFC00000"/>
        <rFont val="Open Sans"/>
        <family val="2"/>
      </rPr>
      <t>Si</t>
    </r>
    <r>
      <rPr>
        <sz val="12"/>
        <rFont val="Open Sans"/>
        <family val="2"/>
      </rPr>
      <t xml:space="preserve"> la cantidad de </t>
    </r>
    <r>
      <rPr>
        <b/>
        <sz val="12"/>
        <color rgb="FFC00000"/>
        <rFont val="Open Sans"/>
        <family val="2"/>
      </rPr>
      <t>Deudas/Cuotas es mayor a 2</t>
    </r>
    <r>
      <rPr>
        <sz val="12"/>
        <rFont val="Open Sans"/>
        <family val="2"/>
      </rPr>
      <t xml:space="preserve"> mostrar el </t>
    </r>
    <r>
      <rPr>
        <b/>
        <sz val="12"/>
        <color rgb="FFC00000"/>
        <rFont val="Open Sans"/>
        <family val="2"/>
      </rPr>
      <t>Nº de socio</t>
    </r>
  </si>
  <si>
    <r>
      <t xml:space="preserve">De resto </t>
    </r>
    <r>
      <rPr>
        <b/>
        <sz val="12"/>
        <color rgb="FFC00000"/>
        <rFont val="Open Sans"/>
        <family val="2"/>
      </rPr>
      <t>"-"</t>
    </r>
  </si>
  <si>
    <t>Deudor</t>
  </si>
  <si>
    <t>Valor condición</t>
  </si>
  <si>
    <t>Y</t>
  </si>
  <si>
    <t>O</t>
  </si>
  <si>
    <t>Acción</t>
  </si>
  <si>
    <t>Cuotas Pendientes</t>
  </si>
  <si>
    <t>Cuota Mensual</t>
  </si>
  <si>
    <r>
      <t xml:space="preserve">Tabla </t>
    </r>
    <r>
      <rPr>
        <b/>
        <sz val="11"/>
        <rFont val="Open Sans"/>
        <family val="2"/>
      </rPr>
      <t>deudas</t>
    </r>
    <r>
      <rPr>
        <sz val="11"/>
        <rFont val="Open Sans"/>
        <family val="2"/>
      </rPr>
      <t xml:space="preserve"> -&gt;</t>
    </r>
  </si>
  <si>
    <t>consulta -&gt;</t>
  </si>
  <si>
    <t>Importe deuda</t>
  </si>
  <si>
    <r>
      <t xml:space="preserve">2. Preparar una </t>
    </r>
    <r>
      <rPr>
        <b/>
        <sz val="11"/>
        <color rgb="FFC00000"/>
        <rFont val="Open Sans"/>
        <family val="2"/>
      </rPr>
      <t>consulta</t>
    </r>
    <r>
      <rPr>
        <sz val="11"/>
        <rFont val="Open Sans"/>
        <family val="2"/>
      </rPr>
      <t xml:space="preserve"> que a partir del ingreso del Nº de socio, nos dé como respuesta su nombre y el importe de su deuda (en la tabla de deudas)</t>
    </r>
  </si>
  <si>
    <r>
      <t xml:space="preserve">1. Agregar una columna denominada </t>
    </r>
    <r>
      <rPr>
        <b/>
        <sz val="11"/>
        <color rgb="FFC00000"/>
        <rFont val="Open Sans"/>
        <family val="2"/>
      </rPr>
      <t>Deuda</t>
    </r>
    <r>
      <rPr>
        <sz val="11"/>
        <rFont val="Open Sans"/>
        <family val="2"/>
      </rPr>
      <t xml:space="preserve"> que busque la </t>
    </r>
    <r>
      <rPr>
        <b/>
        <sz val="11"/>
        <color rgb="FFC00000"/>
        <rFont val="Open Sans"/>
        <family val="2"/>
      </rPr>
      <t>Categoría</t>
    </r>
    <r>
      <rPr>
        <sz val="11"/>
        <rFont val="Open Sans"/>
        <family val="2"/>
      </rPr>
      <t xml:space="preserve"> en la tabla </t>
    </r>
    <r>
      <rPr>
        <b/>
        <sz val="11"/>
        <color rgb="FFC00000"/>
        <rFont val="Open Sans"/>
        <family val="2"/>
      </rPr>
      <t>deudas</t>
    </r>
    <r>
      <rPr>
        <sz val="11"/>
        <rFont val="Open Sans"/>
        <family val="2"/>
      </rPr>
      <t xml:space="preserve"> y multiplique la </t>
    </r>
    <r>
      <rPr>
        <b/>
        <sz val="11"/>
        <color rgb="FFC00000"/>
        <rFont val="Open Sans"/>
        <family val="2"/>
      </rPr>
      <t>Cuota Mensual</t>
    </r>
    <r>
      <rPr>
        <sz val="11"/>
        <rFont val="Open Sans"/>
        <family val="2"/>
      </rPr>
      <t xml:space="preserve"> por las </t>
    </r>
    <r>
      <rPr>
        <b/>
        <sz val="11"/>
        <color rgb="FFC00000"/>
        <rFont val="Open Sans"/>
        <family val="2"/>
      </rPr>
      <t>Cuotas Pendientes</t>
    </r>
    <r>
      <rPr>
        <b/>
        <sz val="11"/>
        <rFont val="Open Sans"/>
        <family val="2"/>
      </rPr>
      <t xml:space="preserve"> </t>
    </r>
    <r>
      <rPr>
        <sz val="11"/>
        <rFont val="Open Sans"/>
        <family val="2"/>
      </rPr>
      <t>del Socio:</t>
    </r>
  </si>
  <si>
    <t>3. Suponiendo que a los socios con mas de 10 años de antigüedad se les realiza un 10% de descuento sobre su deuda,</t>
  </si>
  <si>
    <r>
      <t xml:space="preserve">    crear una columna </t>
    </r>
    <r>
      <rPr>
        <b/>
        <sz val="11"/>
        <color rgb="FFC00000"/>
        <rFont val="Open Sans"/>
        <family val="2"/>
      </rPr>
      <t>Deuda c/descuento</t>
    </r>
    <r>
      <rPr>
        <sz val="11"/>
        <rFont val="Open Sans"/>
        <family val="2"/>
      </rPr>
      <t xml:space="preserve"> que tome en cuenta el descuento del 10%.</t>
    </r>
  </si>
  <si>
    <t>Deuda c/descuento</t>
  </si>
  <si>
    <r>
      <t xml:space="preserve">1. Agregar una columna denominada </t>
    </r>
    <r>
      <rPr>
        <b/>
        <sz val="12"/>
        <color rgb="FFC00000"/>
        <rFont val="Open Sans"/>
        <family val="2"/>
      </rPr>
      <t>Código País</t>
    </r>
    <r>
      <rPr>
        <b/>
        <sz val="12"/>
        <rFont val="Open Sans"/>
        <family val="2"/>
      </rPr>
      <t xml:space="preserve"> </t>
    </r>
    <r>
      <rPr>
        <sz val="12"/>
        <rFont val="Open Sans"/>
        <family val="2"/>
      </rPr>
      <t>en donde se especifiquen los siguientes códigos:</t>
    </r>
  </si>
  <si>
    <r>
      <t>A</t>
    </r>
    <r>
      <rPr>
        <sz val="12"/>
        <rFont val="Open Sans"/>
        <family val="2"/>
      </rPr>
      <t xml:space="preserve">: Países que tengan una </t>
    </r>
    <r>
      <rPr>
        <b/>
        <sz val="12"/>
        <color rgb="FFC00000"/>
        <rFont val="Open Sans"/>
        <family val="2"/>
      </rPr>
      <t>Deuda externa &lt;  40000</t>
    </r>
    <r>
      <rPr>
        <sz val="12"/>
        <rFont val="Open Sans"/>
        <family val="2"/>
      </rPr>
      <t xml:space="preserve"> </t>
    </r>
    <r>
      <rPr>
        <b/>
        <sz val="12"/>
        <rFont val="Open Sans"/>
        <family val="2"/>
      </rPr>
      <t>Y</t>
    </r>
    <r>
      <rPr>
        <sz val="12"/>
        <rFont val="Open Sans"/>
        <family val="2"/>
      </rPr>
      <t xml:space="preserve"> cumplan con una de las siguientes condiciones: </t>
    </r>
    <r>
      <rPr>
        <b/>
        <sz val="12"/>
        <color theme="5"/>
        <rFont val="Open Sans"/>
        <family val="2"/>
      </rPr>
      <t>PBI/Hab &gt; 4000</t>
    </r>
    <r>
      <rPr>
        <sz val="12"/>
        <rFont val="Open Sans"/>
        <family val="2"/>
      </rPr>
      <t xml:space="preserve"> </t>
    </r>
    <r>
      <rPr>
        <b/>
        <sz val="12"/>
        <rFont val="Open Sans"/>
        <family val="2"/>
      </rPr>
      <t>O</t>
    </r>
    <r>
      <rPr>
        <sz val="12"/>
        <rFont val="Open Sans"/>
        <family val="2"/>
      </rPr>
      <t xml:space="preserve"> </t>
    </r>
    <r>
      <rPr>
        <b/>
        <sz val="12"/>
        <color theme="5"/>
        <rFont val="Open Sans"/>
        <family val="2"/>
      </rPr>
      <t>%Alfabet. &gt; 90</t>
    </r>
  </si>
  <si>
    <r>
      <t xml:space="preserve">B: </t>
    </r>
    <r>
      <rPr>
        <sz val="12"/>
        <rFont val="Open Sans"/>
        <family val="2"/>
      </rPr>
      <t xml:space="preserve">Países con una </t>
    </r>
    <r>
      <rPr>
        <b/>
        <sz val="12"/>
        <color theme="5"/>
        <rFont val="Open Sans"/>
        <family val="2"/>
      </rPr>
      <t>Deuda externa &gt;= 40000</t>
    </r>
    <r>
      <rPr>
        <b/>
        <sz val="12"/>
        <rFont val="Open Sans"/>
        <family val="2"/>
      </rPr>
      <t xml:space="preserve"> Y</t>
    </r>
    <r>
      <rPr>
        <sz val="12"/>
        <rFont val="Open Sans"/>
        <family val="2"/>
      </rPr>
      <t xml:space="preserve"> un </t>
    </r>
    <r>
      <rPr>
        <b/>
        <sz val="12"/>
        <color theme="5"/>
        <rFont val="Open Sans"/>
        <family val="2"/>
      </rPr>
      <t>PBI/Hab &gt; 4500</t>
    </r>
  </si>
  <si>
    <r>
      <t>C:</t>
    </r>
    <r>
      <rPr>
        <sz val="12"/>
        <rFont val="Open Sans"/>
        <family val="2"/>
      </rPr>
      <t xml:space="preserve"> Resto de los países.</t>
    </r>
  </si>
  <si>
    <t>se muestre la lista de deportes que practica.</t>
  </si>
  <si>
    <r>
      <t xml:space="preserve">Con las dos tablas anteriores hacer un </t>
    </r>
    <r>
      <rPr>
        <i/>
        <sz val="12"/>
        <rFont val="Georgia"/>
        <family val="1"/>
      </rPr>
      <t>Dashboard</t>
    </r>
    <r>
      <rPr>
        <sz val="12"/>
        <rFont val="Open Sans"/>
        <family val="2"/>
      </rPr>
      <t xml:space="preserve"> con el cual ingresando el nombre del socio, </t>
    </r>
  </si>
  <si>
    <r>
      <t xml:space="preserve">(usar </t>
    </r>
    <r>
      <rPr>
        <b/>
        <sz val="12"/>
        <rFont val="Open Sans"/>
        <family val="2"/>
      </rPr>
      <t>Datos-Validación de Datos</t>
    </r>
    <r>
      <rPr>
        <sz val="12"/>
        <rFont val="Open Sans"/>
        <family val="2"/>
      </rPr>
      <t>)</t>
    </r>
  </si>
  <si>
    <t>Nombre del Socio</t>
  </si>
  <si>
    <t>Tabla socios2</t>
  </si>
  <si>
    <t>Tabla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</si>
</sst>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_ ;\-#,##0\ "/>
    <numFmt numFmtId="167" formatCode="#,##0.00_ ;\-#,##0.00\ "/>
  </numFmts>
  <fonts count="33" x14ac:knownFonts="1">
    <font>
      <sz val="12"/>
      <name val="Arial"/>
    </font>
    <font>
      <sz val="12"/>
      <name val="Arial"/>
    </font>
    <font>
      <b/>
      <sz val="12"/>
      <name val="Open Sans"/>
      <family val="2"/>
    </font>
    <font>
      <sz val="12"/>
      <name val="Open Sans"/>
      <family val="2"/>
    </font>
    <font>
      <b/>
      <sz val="11"/>
      <name val="Open Sans"/>
      <family val="2"/>
    </font>
    <font>
      <sz val="11"/>
      <name val="Open Sans"/>
      <family val="2"/>
    </font>
    <font>
      <b/>
      <sz val="12"/>
      <color rgb="FFFF0000"/>
      <name val="Open Sans"/>
      <family val="2"/>
    </font>
    <font>
      <sz val="12"/>
      <color rgb="FFFF0000"/>
      <name val="Open Sans"/>
      <family val="2"/>
    </font>
    <font>
      <b/>
      <sz val="11"/>
      <color rgb="FFFF0000"/>
      <name val="Open Sans"/>
      <family val="2"/>
    </font>
    <font>
      <b/>
      <u/>
      <sz val="11"/>
      <name val="Open San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name val="Open Sans"/>
      <family val="2"/>
    </font>
    <font>
      <b/>
      <sz val="14"/>
      <name val="Open Sans"/>
      <family val="2"/>
    </font>
    <font>
      <b/>
      <sz val="20"/>
      <name val="Open Sans"/>
      <family val="2"/>
    </font>
    <font>
      <b/>
      <sz val="14"/>
      <color theme="8" tint="-0.499984740745262"/>
      <name val="Open Sans"/>
      <family val="2"/>
    </font>
    <font>
      <sz val="11"/>
      <color theme="5"/>
      <name val="Open Sans"/>
      <family val="2"/>
    </font>
    <font>
      <b/>
      <sz val="12"/>
      <color theme="0"/>
      <name val="Open Sans"/>
      <family val="2"/>
    </font>
    <font>
      <b/>
      <sz val="18"/>
      <color rgb="FFC00000"/>
      <name val="Open Sans"/>
      <family val="2"/>
    </font>
    <font>
      <sz val="10"/>
      <name val="Open Sans"/>
      <family val="2"/>
    </font>
    <font>
      <b/>
      <sz val="10"/>
      <color rgb="FFFF0000"/>
      <name val="Open Sans"/>
      <family val="2"/>
    </font>
    <font>
      <sz val="10"/>
      <color theme="4"/>
      <name val="Open Sans"/>
      <family val="2"/>
    </font>
    <font>
      <b/>
      <sz val="10"/>
      <name val="Open Sans"/>
      <family val="2"/>
    </font>
    <font>
      <sz val="10"/>
      <color indexed="81"/>
      <name val="Tahoma"/>
      <family val="2"/>
    </font>
    <font>
      <b/>
      <sz val="10"/>
      <color indexed="16"/>
      <name val="Tahoma"/>
      <family val="2"/>
    </font>
    <font>
      <b/>
      <sz val="12"/>
      <color rgb="FFC00000"/>
      <name val="Open Sans"/>
      <family val="2"/>
    </font>
    <font>
      <sz val="12"/>
      <color rgb="FFC00000"/>
      <name val="Open Sans"/>
      <family val="2"/>
    </font>
    <font>
      <b/>
      <sz val="12"/>
      <color theme="0"/>
      <name val="Arial"/>
      <family val="2"/>
    </font>
    <font>
      <b/>
      <sz val="12"/>
      <name val="Courier New"/>
      <family val="3"/>
    </font>
    <font>
      <sz val="11"/>
      <color rgb="FFC00000"/>
      <name val="Open Sans"/>
      <family val="2"/>
    </font>
    <font>
      <b/>
      <sz val="11"/>
      <color rgb="FFC00000"/>
      <name val="Open Sans"/>
      <family val="2"/>
    </font>
    <font>
      <b/>
      <sz val="12"/>
      <color theme="5"/>
      <name val="Open Sans"/>
      <family val="2"/>
    </font>
    <font>
      <i/>
      <sz val="12"/>
      <name val="Georgia"/>
      <family val="1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Dashed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0" xfId="0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3"/>
    </xf>
    <xf numFmtId="0" fontId="3" fillId="0" borderId="1" xfId="0" applyFont="1" applyBorder="1"/>
    <xf numFmtId="0" fontId="3" fillId="0" borderId="1" xfId="0" applyFont="1" applyBorder="1" applyAlignment="1">
      <alignment horizontal="left" indent="1"/>
    </xf>
    <xf numFmtId="0" fontId="9" fillId="0" borderId="0" xfId="0" applyFont="1" applyFill="1" applyBorder="1" applyAlignment="1" applyProtection="1">
      <alignment horizontal="left" indent="1"/>
    </xf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164" fontId="3" fillId="0" borderId="1" xfId="1" applyNumberFormat="1" applyFont="1" applyBorder="1" applyAlignment="1">
      <alignment horizontal="right" indent="2"/>
    </xf>
    <xf numFmtId="0" fontId="12" fillId="0" borderId="0" xfId="0" quotePrefix="1" applyFont="1"/>
    <xf numFmtId="0" fontId="7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4" fillId="0" borderId="0" xfId="0" applyFont="1"/>
    <xf numFmtId="0" fontId="3" fillId="0" borderId="2" xfId="0" applyFont="1" applyBorder="1"/>
    <xf numFmtId="0" fontId="5" fillId="0" borderId="0" xfId="0" applyFont="1"/>
    <xf numFmtId="0" fontId="2" fillId="0" borderId="0" xfId="0" applyFont="1" applyAlignment="1">
      <alignment horizontal="right" indent="1"/>
    </xf>
    <xf numFmtId="0" fontId="3" fillId="0" borderId="0" xfId="0" applyFont="1" applyAlignment="1">
      <alignment horizontal="right" indent="1"/>
    </xf>
    <xf numFmtId="3" fontId="3" fillId="0" borderId="1" xfId="0" applyNumberFormat="1" applyFont="1" applyBorder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1" fillId="0" borderId="0" xfId="0" applyFont="1"/>
    <xf numFmtId="0" fontId="22" fillId="0" borderId="0" xfId="0" applyFont="1"/>
    <xf numFmtId="0" fontId="5" fillId="4" borderId="0" xfId="0" applyFont="1" applyFill="1" applyAlignment="1">
      <alignment horizontal="left" indent="1"/>
    </xf>
    <xf numFmtId="0" fontId="5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3" fillId="3" borderId="1" xfId="0" applyFont="1" applyFill="1" applyBorder="1"/>
    <xf numFmtId="0" fontId="3" fillId="4" borderId="1" xfId="0" applyFont="1" applyFill="1" applyBorder="1"/>
    <xf numFmtId="0" fontId="3" fillId="0" borderId="0" xfId="0" quotePrefix="1" applyFont="1"/>
    <xf numFmtId="0" fontId="3" fillId="0" borderId="0" xfId="0" quotePrefix="1" applyFont="1" applyAlignment="1">
      <alignment horizontal="left" indent="1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right" indent="2"/>
    </xf>
    <xf numFmtId="167" fontId="2" fillId="3" borderId="1" xfId="1" applyNumberFormat="1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164" fontId="3" fillId="3" borderId="1" xfId="1" applyNumberFormat="1" applyFont="1" applyFill="1" applyBorder="1" applyAlignment="1">
      <alignment horizontal="center"/>
    </xf>
    <xf numFmtId="0" fontId="0" fillId="0" borderId="3" xfId="0" applyBorder="1"/>
    <xf numFmtId="0" fontId="0" fillId="3" borderId="1" xfId="0" applyFill="1" applyBorder="1"/>
    <xf numFmtId="2" fontId="2" fillId="3" borderId="1" xfId="0" applyNumberFormat="1" applyFont="1" applyFill="1" applyBorder="1" applyAlignment="1">
      <alignment horizontal="left" indent="4"/>
    </xf>
    <xf numFmtId="0" fontId="3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5" fillId="5" borderId="1" xfId="0" applyFont="1" applyFill="1" applyBorder="1" applyAlignment="1"/>
    <xf numFmtId="3" fontId="3" fillId="8" borderId="1" xfId="0" applyNumberFormat="1" applyFont="1" applyFill="1" applyBorder="1" applyAlignment="1">
      <alignment horizontal="right" indent="2"/>
    </xf>
    <xf numFmtId="2" fontId="3" fillId="8" borderId="1" xfId="0" applyNumberFormat="1" applyFont="1" applyFill="1" applyBorder="1" applyAlignment="1">
      <alignment horizontal="center"/>
    </xf>
    <xf numFmtId="0" fontId="27" fillId="7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indent="1"/>
    </xf>
    <xf numFmtId="0" fontId="5" fillId="9" borderId="0" xfId="0" applyFont="1" applyFill="1"/>
    <xf numFmtId="0" fontId="3" fillId="9" borderId="1" xfId="0" applyFont="1" applyFill="1" applyBorder="1"/>
    <xf numFmtId="0" fontId="28" fillId="0" borderId="0" xfId="0" applyFont="1" applyAlignment="1">
      <alignment horizontal="left" indent="1"/>
    </xf>
    <xf numFmtId="0" fontId="5" fillId="10" borderId="1" xfId="0" applyFont="1" applyFill="1" applyBorder="1"/>
    <xf numFmtId="0" fontId="3" fillId="10" borderId="1" xfId="0" applyFont="1" applyFill="1" applyBorder="1"/>
    <xf numFmtId="0" fontId="3" fillId="0" borderId="3" xfId="0" applyFont="1" applyBorder="1"/>
    <xf numFmtId="0" fontId="5" fillId="6" borderId="1" xfId="0" applyFont="1" applyFill="1" applyBorder="1" applyAlignment="1">
      <alignment horizontal="center"/>
    </xf>
    <xf numFmtId="44" fontId="3" fillId="6" borderId="1" xfId="2" applyFont="1" applyFill="1" applyBorder="1" applyAlignment="1">
      <alignment horizontal="center"/>
    </xf>
    <xf numFmtId="44" fontId="2" fillId="3" borderId="1" xfId="2" applyFont="1" applyFill="1" applyBorder="1" applyAlignment="1">
      <alignment horizontal="right" indent="1"/>
    </xf>
    <xf numFmtId="44" fontId="3" fillId="3" borderId="1" xfId="2" applyFont="1" applyFill="1" applyBorder="1" applyAlignment="1">
      <alignment horizontal="right" indent="1"/>
    </xf>
    <xf numFmtId="0" fontId="13" fillId="0" borderId="0" xfId="0" applyFont="1" applyAlignment="1">
      <alignment horizontal="left" indent="1"/>
    </xf>
    <xf numFmtId="0" fontId="15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left" indent="2"/>
    </xf>
    <xf numFmtId="0" fontId="16" fillId="0" borderId="0" xfId="0" applyFont="1" applyAlignment="1">
      <alignment horizontal="center"/>
    </xf>
    <xf numFmtId="0" fontId="25" fillId="0" borderId="0" xfId="0" applyFont="1"/>
    <xf numFmtId="0" fontId="2" fillId="0" borderId="0" xfId="0" applyFont="1" applyBorder="1" applyAlignment="1">
      <alignment horizontal="right" indent="1"/>
    </xf>
    <xf numFmtId="0" fontId="29" fillId="0" borderId="0" xfId="0" applyFont="1" applyAlignment="1">
      <alignment horizontal="center"/>
    </xf>
    <xf numFmtId="0" fontId="26" fillId="0" borderId="0" xfId="0" applyFont="1"/>
  </cellXfs>
  <cellStyles count="3">
    <cellStyle name="Millares" xfId="1" builtinId="3"/>
    <cellStyle name="Moneda" xfId="2" builtinId="4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99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158750</xdr:colOff>
      <xdr:row>5</xdr:row>
      <xdr:rowOff>6350</xdr:rowOff>
    </xdr:from>
    <xdr:ext cx="1661922" cy="131548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6513E71-2105-43C9-8D04-8DD0B4021079}"/>
            </a:ext>
          </a:extLst>
        </xdr:cNvPr>
        <xdr:cNvSpPr txBox="1"/>
      </xdr:nvSpPr>
      <xdr:spPr>
        <a:xfrm>
          <a:off x="14621199" y="1094921"/>
          <a:ext cx="1661922" cy="1315487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ES" sz="110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Los </a:t>
          </a:r>
          <a:r>
            <a:rPr lang="es-ES" sz="1100" b="1">
              <a:solidFill>
                <a:srgbClr val="FF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textos valen 0</a:t>
          </a:r>
          <a:br>
            <a:rPr lang="es-ES" sz="110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</a:br>
          <a:r>
            <a:rPr lang="es-ES" sz="110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para todas las funciones estadísticas.</a:t>
          </a:r>
        </a:p>
        <a:p>
          <a:r>
            <a:rPr lang="es-ES" sz="110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Y se tratan con la versión </a:t>
          </a:r>
          <a:r>
            <a:rPr lang="es-ES" sz="1100" b="1">
              <a:solidFill>
                <a:srgbClr val="FF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A</a:t>
          </a:r>
          <a:r>
            <a:rPr lang="es-ES" sz="1100"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 de las funciones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144780</xdr:colOff>
      <xdr:row>0</xdr:row>
      <xdr:rowOff>68580</xdr:rowOff>
    </xdr:from>
    <xdr:to>
      <xdr:col>7</xdr:col>
      <xdr:colOff>1158441</xdr:colOff>
      <xdr:row>4</xdr:row>
      <xdr:rowOff>68580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9817CB-E779-462B-AB66-3C0DA3AEE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8380" y="68580"/>
          <a:ext cx="3398721" cy="1143000"/>
        </a:xfrm>
        <a:prstGeom prst="rect">
          <a:avLst/>
        </a:prstGeom>
      </xdr:spPr>
    </xdr:pic>
    <xdr:clientData/>
  </xdr:twoCellAnchor>
  <xdr:twoCellAnchor editAs="oneCell">
    <xdr:from>
      <xdr:col>8</xdr:col>
      <xdr:colOff>449580</xdr:colOff>
      <xdr:row>36</xdr:row>
      <xdr:rowOff>175138</xdr:rowOff>
    </xdr:from>
    <xdr:to>
      <xdr:col>13</xdr:col>
      <xdr:colOff>734426</xdr:colOff>
      <xdr:row>49</xdr:row>
      <xdr:rowOff>50096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0FF3116-DA60-44A5-A76B-FA288B360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31780" y="8366638"/>
          <a:ext cx="4856846" cy="2747698"/>
        </a:xfrm>
        <a:prstGeom prst="roundRect">
          <a:avLst>
            <a:gd name="adj" fmla="val 6683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5"/>
  <sheetViews>
    <sheetView tabSelected="1" zoomScaleNormal="100" workbookViewId="0">
      <selection activeCell="H11" sqref="H11"/>
    </sheetView>
  </sheetViews>
  <sheetFormatPr baseColWidth="10" defaultRowHeight="19.2" customHeight="1" x14ac:dyDescent="0.4"/>
  <cols>
    <col min="1" max="1" width="12.26953125" style="2" customWidth="1"/>
    <col min="2" max="4" width="15.6328125" style="2" customWidth="1"/>
    <col min="5" max="5" width="15.81640625" style="2" customWidth="1"/>
    <col min="6" max="6" width="19.81640625" style="2" customWidth="1"/>
    <col min="7" max="7" width="7.1796875" style="2" customWidth="1"/>
    <col min="8" max="8" width="21.08984375" style="2" customWidth="1"/>
    <col min="9" max="16384" width="10.90625" style="2"/>
  </cols>
  <sheetData>
    <row r="3" spans="1:8" ht="19.2" customHeight="1" x14ac:dyDescent="0.4">
      <c r="A3" s="41" t="s">
        <v>20</v>
      </c>
      <c r="B3" s="41" t="s">
        <v>34</v>
      </c>
      <c r="C3" s="41" t="s">
        <v>35</v>
      </c>
      <c r="D3" s="41" t="s">
        <v>36</v>
      </c>
      <c r="E3" s="41" t="s">
        <v>78</v>
      </c>
      <c r="F3" s="41" t="s">
        <v>81</v>
      </c>
      <c r="H3" s="41" t="s">
        <v>79</v>
      </c>
    </row>
    <row r="4" spans="1:8" ht="19.2" customHeight="1" x14ac:dyDescent="0.4">
      <c r="A4" s="1" t="s">
        <v>30</v>
      </c>
      <c r="B4" s="3"/>
      <c r="C4" s="3"/>
      <c r="D4" s="3"/>
      <c r="E4" s="44"/>
      <c r="F4" s="44"/>
      <c r="H4" s="45"/>
    </row>
    <row r="5" spans="1:8" ht="19.2" customHeight="1" x14ac:dyDescent="0.4">
      <c r="A5" s="1" t="s">
        <v>24</v>
      </c>
      <c r="B5" s="3"/>
      <c r="C5" s="3"/>
      <c r="D5" s="3"/>
      <c r="E5" s="44"/>
      <c r="F5" s="44"/>
    </row>
    <row r="6" spans="1:8" ht="19.2" customHeight="1" x14ac:dyDescent="0.4">
      <c r="A6" s="1" t="s">
        <v>25</v>
      </c>
      <c r="B6" s="3"/>
      <c r="C6" s="3"/>
      <c r="D6" s="3"/>
      <c r="E6" s="44"/>
      <c r="F6" s="44"/>
      <c r="H6" s="41" t="s">
        <v>80</v>
      </c>
    </row>
    <row r="7" spans="1:8" ht="19.2" customHeight="1" x14ac:dyDescent="0.4">
      <c r="A7" s="1" t="s">
        <v>26</v>
      </c>
      <c r="B7" s="3"/>
      <c r="C7" s="3"/>
      <c r="D7" s="3"/>
      <c r="E7" s="44"/>
      <c r="F7" s="44"/>
      <c r="H7" s="45"/>
    </row>
    <row r="8" spans="1:8" ht="19.2" customHeight="1" x14ac:dyDescent="0.4">
      <c r="A8" s="1" t="s">
        <v>27</v>
      </c>
      <c r="B8" s="3"/>
      <c r="C8" s="3"/>
      <c r="D8" s="3"/>
      <c r="E8" s="44"/>
      <c r="F8" s="44"/>
    </row>
    <row r="9" spans="1:8" ht="19.2" customHeight="1" x14ac:dyDescent="0.4">
      <c r="A9" s="1" t="s">
        <v>28</v>
      </c>
      <c r="B9" s="3"/>
      <c r="C9" s="3"/>
      <c r="D9" s="3"/>
      <c r="E9" s="44"/>
      <c r="F9" s="44"/>
    </row>
    <row r="10" spans="1:8" ht="19.2" customHeight="1" x14ac:dyDescent="0.4">
      <c r="A10" s="1" t="s">
        <v>29</v>
      </c>
      <c r="B10" s="3"/>
      <c r="C10" s="3"/>
      <c r="D10" s="3"/>
      <c r="E10" s="44"/>
      <c r="F10" s="44"/>
    </row>
    <row r="13" spans="1:8" ht="19.2" customHeight="1" x14ac:dyDescent="0.4">
      <c r="A13" s="7" t="s">
        <v>126</v>
      </c>
    </row>
    <row r="14" spans="1:8" ht="19.2" customHeight="1" x14ac:dyDescent="0.4">
      <c r="A14" s="8" t="s">
        <v>127</v>
      </c>
    </row>
    <row r="15" spans="1:8" ht="19.2" customHeight="1" x14ac:dyDescent="0.4">
      <c r="A15" s="8" t="s">
        <v>128</v>
      </c>
    </row>
    <row r="16" spans="1:8" ht="19.2" customHeight="1" x14ac:dyDescent="0.4">
      <c r="B16" s="2" t="s">
        <v>129</v>
      </c>
    </row>
    <row r="17" spans="1:6" ht="19.2" customHeight="1" x14ac:dyDescent="0.4">
      <c r="B17" s="2" t="s">
        <v>130</v>
      </c>
    </row>
    <row r="19" spans="1:6" s="43" customFormat="1" ht="19.2" customHeight="1" thickBot="1" x14ac:dyDescent="0.3"/>
    <row r="22" spans="1:6" customFormat="1" ht="19.2" customHeight="1" x14ac:dyDescent="0.4">
      <c r="A22" s="41" t="s">
        <v>37</v>
      </c>
      <c r="B22" s="41" t="s">
        <v>38</v>
      </c>
      <c r="C22" s="41" t="s">
        <v>39</v>
      </c>
      <c r="D22" s="41" t="s">
        <v>40</v>
      </c>
      <c r="E22" s="41" t="s">
        <v>41</v>
      </c>
      <c r="F22" s="41" t="s">
        <v>134</v>
      </c>
    </row>
    <row r="23" spans="1:6" customFormat="1" ht="19.2" customHeight="1" x14ac:dyDescent="0.4">
      <c r="A23" s="46">
        <v>1255</v>
      </c>
      <c r="B23" s="46" t="s">
        <v>42</v>
      </c>
      <c r="C23" s="46">
        <v>11</v>
      </c>
      <c r="D23" s="3">
        <v>0</v>
      </c>
      <c r="E23" s="46">
        <v>1</v>
      </c>
      <c r="F23" s="37"/>
    </row>
    <row r="24" spans="1:6" customFormat="1" ht="19.2" customHeight="1" x14ac:dyDescent="0.4">
      <c r="A24" s="46">
        <v>2148</v>
      </c>
      <c r="B24" s="46" t="s">
        <v>43</v>
      </c>
      <c r="C24" s="46">
        <v>18</v>
      </c>
      <c r="D24" s="3">
        <v>0</v>
      </c>
      <c r="E24" s="46">
        <v>5</v>
      </c>
      <c r="F24" s="37"/>
    </row>
    <row r="25" spans="1:6" customFormat="1" ht="19.2" customHeight="1" x14ac:dyDescent="0.4">
      <c r="A25" s="46">
        <v>2365</v>
      </c>
      <c r="B25" s="46" t="s">
        <v>44</v>
      </c>
      <c r="C25" s="46">
        <v>23</v>
      </c>
      <c r="D25" s="3">
        <v>1</v>
      </c>
      <c r="E25" s="46">
        <v>6</v>
      </c>
      <c r="F25" s="37"/>
    </row>
    <row r="26" spans="1:6" customFormat="1" ht="19.2" customHeight="1" x14ac:dyDescent="0.4">
      <c r="A26" s="46">
        <v>3255</v>
      </c>
      <c r="B26" s="46" t="s">
        <v>45</v>
      </c>
      <c r="C26" s="46">
        <v>43</v>
      </c>
      <c r="D26" s="12">
        <v>5</v>
      </c>
      <c r="E26" s="46">
        <v>3</v>
      </c>
      <c r="F26" s="37"/>
    </row>
    <row r="27" spans="1:6" customFormat="1" ht="19.2" customHeight="1" x14ac:dyDescent="0.4">
      <c r="A27" s="46">
        <v>3654</v>
      </c>
      <c r="B27" s="46" t="s">
        <v>46</v>
      </c>
      <c r="C27" s="46">
        <v>22</v>
      </c>
      <c r="D27" s="3">
        <v>0</v>
      </c>
      <c r="E27" s="46">
        <v>1</v>
      </c>
      <c r="F27" s="37"/>
    </row>
    <row r="28" spans="1:6" customFormat="1" ht="19.2" customHeight="1" x14ac:dyDescent="0.4">
      <c r="A28" s="46">
        <v>4578</v>
      </c>
      <c r="B28" s="46" t="s">
        <v>47</v>
      </c>
      <c r="C28" s="46">
        <v>56</v>
      </c>
      <c r="D28" s="12">
        <v>3</v>
      </c>
      <c r="E28" s="46">
        <v>20</v>
      </c>
      <c r="F28" s="37"/>
    </row>
    <row r="29" spans="1:6" customFormat="1" ht="19.2" customHeight="1" x14ac:dyDescent="0.4">
      <c r="A29" s="47">
        <v>5967</v>
      </c>
      <c r="B29" s="47" t="s">
        <v>48</v>
      </c>
      <c r="C29" s="47">
        <v>11</v>
      </c>
      <c r="D29" s="3">
        <v>1</v>
      </c>
      <c r="E29" s="46">
        <v>2</v>
      </c>
      <c r="F29" s="37"/>
    </row>
    <row r="30" spans="1:6" customFormat="1" ht="19.2" customHeight="1" x14ac:dyDescent="0.4">
      <c r="A30" s="46">
        <v>6685</v>
      </c>
      <c r="B30" s="46" t="s">
        <v>49</v>
      </c>
      <c r="C30" s="46">
        <v>29</v>
      </c>
      <c r="D30" s="3">
        <v>1</v>
      </c>
      <c r="E30" s="46">
        <v>12</v>
      </c>
      <c r="F30" s="37"/>
    </row>
    <row r="32" spans="1:6" ht="19.2" customHeight="1" x14ac:dyDescent="0.4">
      <c r="A32" s="7" t="s">
        <v>131</v>
      </c>
    </row>
    <row r="33" spans="1:3" ht="19.2" customHeight="1" x14ac:dyDescent="0.4">
      <c r="A33" s="7"/>
      <c r="B33" s="2" t="s">
        <v>132</v>
      </c>
    </row>
    <row r="34" spans="1:3" ht="19.2" customHeight="1" x14ac:dyDescent="0.4">
      <c r="A34" s="11"/>
      <c r="B34" s="2" t="s">
        <v>133</v>
      </c>
    </row>
    <row r="35" spans="1:3" ht="19.2" customHeight="1" x14ac:dyDescent="0.4">
      <c r="B35" s="5"/>
      <c r="C35" s="6"/>
    </row>
  </sheetData>
  <pageMargins left="0.75" right="0.75" top="1" bottom="1" header="0" footer="0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61"/>
  <sheetViews>
    <sheetView topLeftCell="A40" zoomScale="98" zoomScaleNormal="98" workbookViewId="0">
      <selection activeCell="C62" sqref="C62"/>
    </sheetView>
  </sheetViews>
  <sheetFormatPr baseColWidth="10" defaultRowHeight="17.399999999999999" x14ac:dyDescent="0.4"/>
  <cols>
    <col min="1" max="1" width="8.26953125" style="2" customWidth="1"/>
    <col min="2" max="2" width="13.36328125" style="2" customWidth="1"/>
    <col min="3" max="3" width="12.81640625" style="2" customWidth="1"/>
    <col min="4" max="4" width="20.08984375" style="2" bestFit="1" customWidth="1"/>
    <col min="5" max="5" width="27.08984375" style="2" customWidth="1"/>
    <col min="6" max="6" width="14.90625" style="2" customWidth="1"/>
    <col min="7" max="7" width="22.6328125" style="2" customWidth="1"/>
    <col min="8" max="8" width="19.453125" style="2" bestFit="1" customWidth="1"/>
    <col min="9" max="9" width="19.54296875" style="2" customWidth="1"/>
    <col min="10" max="10" width="14.26953125" style="2" customWidth="1"/>
    <col min="11" max="11" width="26.54296875" style="2" customWidth="1"/>
    <col min="12" max="16384" width="10.90625" style="2"/>
  </cols>
  <sheetData>
    <row r="2" spans="1:11" x14ac:dyDescent="0.4">
      <c r="A2" s="2" t="s">
        <v>15</v>
      </c>
      <c r="I2" s="53" t="s">
        <v>89</v>
      </c>
      <c r="J2" s="30" t="s">
        <v>109</v>
      </c>
      <c r="K2" s="32" t="s">
        <v>92</v>
      </c>
    </row>
    <row r="3" spans="1:11" x14ac:dyDescent="0.4">
      <c r="A3" s="2" t="s">
        <v>16</v>
      </c>
      <c r="G3" s="27" t="s">
        <v>82</v>
      </c>
      <c r="I3" s="21" t="s">
        <v>90</v>
      </c>
      <c r="J3" s="31" t="s">
        <v>110</v>
      </c>
      <c r="K3" s="32" t="s">
        <v>93</v>
      </c>
    </row>
    <row r="4" spans="1:11" x14ac:dyDescent="0.4">
      <c r="G4" s="27" t="s">
        <v>108</v>
      </c>
      <c r="I4" s="21" t="s">
        <v>91</v>
      </c>
      <c r="J4" s="31" t="s">
        <v>111</v>
      </c>
      <c r="K4" s="32" t="s">
        <v>94</v>
      </c>
    </row>
    <row r="5" spans="1:11" x14ac:dyDescent="0.4">
      <c r="A5" s="41" t="s">
        <v>0</v>
      </c>
      <c r="B5" s="41" t="s">
        <v>1</v>
      </c>
      <c r="C5" s="41" t="s">
        <v>2</v>
      </c>
      <c r="D5" s="41" t="s">
        <v>112</v>
      </c>
      <c r="E5" s="41" t="s">
        <v>100</v>
      </c>
      <c r="G5" s="28" t="s">
        <v>83</v>
      </c>
    </row>
    <row r="6" spans="1:11" x14ac:dyDescent="0.4">
      <c r="A6" s="3" t="s">
        <v>3</v>
      </c>
      <c r="B6" s="15">
        <v>12568</v>
      </c>
      <c r="C6" s="3">
        <v>0.23</v>
      </c>
      <c r="D6" s="3" t="s">
        <v>12</v>
      </c>
      <c r="E6" s="52"/>
      <c r="G6" s="29" t="s">
        <v>84</v>
      </c>
      <c r="I6" s="1" t="s">
        <v>95</v>
      </c>
      <c r="J6" s="1" t="s">
        <v>96</v>
      </c>
    </row>
    <row r="7" spans="1:11" x14ac:dyDescent="0.4">
      <c r="A7" s="3" t="s">
        <v>4</v>
      </c>
      <c r="B7" s="15">
        <v>2356</v>
      </c>
      <c r="C7" s="3">
        <v>0.25</v>
      </c>
      <c r="D7" s="3" t="s">
        <v>13</v>
      </c>
      <c r="E7" s="52"/>
      <c r="G7" s="27" t="s">
        <v>85</v>
      </c>
      <c r="I7" s="3">
        <v>1</v>
      </c>
      <c r="J7" s="3">
        <v>5</v>
      </c>
    </row>
    <row r="8" spans="1:11" x14ac:dyDescent="0.4">
      <c r="A8" s="3" t="s">
        <v>5</v>
      </c>
      <c r="B8" s="15">
        <v>4588</v>
      </c>
      <c r="C8" s="3">
        <v>0.36</v>
      </c>
      <c r="D8" s="3" t="s">
        <v>12</v>
      </c>
      <c r="E8" s="52"/>
      <c r="G8" s="27"/>
      <c r="I8" s="3">
        <v>2</v>
      </c>
      <c r="J8" s="3">
        <v>12</v>
      </c>
    </row>
    <row r="9" spans="1:11" x14ac:dyDescent="0.4">
      <c r="A9" s="3" t="s">
        <v>6</v>
      </c>
      <c r="B9" s="15">
        <v>9522</v>
      </c>
      <c r="C9" s="3">
        <v>0.14000000000000001</v>
      </c>
      <c r="D9" s="3" t="s">
        <v>14</v>
      </c>
      <c r="E9" s="52"/>
      <c r="G9" s="27" t="s">
        <v>86</v>
      </c>
      <c r="I9" s="3">
        <v>3</v>
      </c>
      <c r="J9" s="3" t="s">
        <v>97</v>
      </c>
    </row>
    <row r="10" spans="1:11" x14ac:dyDescent="0.4">
      <c r="A10" s="3" t="s">
        <v>7</v>
      </c>
      <c r="B10" s="15">
        <v>12544</v>
      </c>
      <c r="C10" s="3">
        <v>0.18</v>
      </c>
      <c r="D10" s="3" t="s">
        <v>12</v>
      </c>
      <c r="E10" s="52"/>
      <c r="G10" s="28" t="s">
        <v>87</v>
      </c>
      <c r="I10" s="3">
        <v>4</v>
      </c>
      <c r="J10" s="3">
        <v>0</v>
      </c>
    </row>
    <row r="11" spans="1:11" x14ac:dyDescent="0.4">
      <c r="A11" s="3" t="s">
        <v>8</v>
      </c>
      <c r="B11" s="15">
        <v>1020</v>
      </c>
      <c r="C11" s="3">
        <v>0.6</v>
      </c>
      <c r="D11" s="3" t="s">
        <v>14</v>
      </c>
      <c r="E11" s="52"/>
      <c r="G11" s="29" t="s">
        <v>88</v>
      </c>
      <c r="I11" s="3">
        <v>5</v>
      </c>
      <c r="J11" s="3">
        <v>4</v>
      </c>
    </row>
    <row r="12" spans="1:11" x14ac:dyDescent="0.4">
      <c r="A12" s="3" t="s">
        <v>9</v>
      </c>
      <c r="B12" s="15">
        <v>15402</v>
      </c>
      <c r="C12" s="3">
        <v>0.27</v>
      </c>
      <c r="D12" s="3" t="s">
        <v>12</v>
      </c>
      <c r="E12" s="52"/>
    </row>
    <row r="13" spans="1:11" x14ac:dyDescent="0.4">
      <c r="A13" s="3" t="s">
        <v>10</v>
      </c>
      <c r="B13" s="15">
        <v>6598</v>
      </c>
      <c r="C13" s="3">
        <v>0.78</v>
      </c>
      <c r="D13" s="3" t="s">
        <v>13</v>
      </c>
      <c r="E13" s="52"/>
      <c r="I13" s="54" t="s">
        <v>98</v>
      </c>
      <c r="J13" s="3"/>
      <c r="K13" s="14"/>
    </row>
    <row r="14" spans="1:11" x14ac:dyDescent="0.4">
      <c r="A14" s="3" t="s">
        <v>11</v>
      </c>
      <c r="B14" s="15">
        <v>8787</v>
      </c>
      <c r="C14" s="3">
        <v>1.02</v>
      </c>
      <c r="D14" s="3" t="s">
        <v>13</v>
      </c>
      <c r="E14" s="52"/>
      <c r="I14" s="34" t="s">
        <v>99</v>
      </c>
      <c r="J14" s="3"/>
      <c r="K14" s="14"/>
    </row>
    <row r="16" spans="1:11" x14ac:dyDescent="0.4">
      <c r="A16" s="7" t="s">
        <v>123</v>
      </c>
      <c r="F16" s="38"/>
    </row>
    <row r="17" spans="1:7" x14ac:dyDescent="0.4">
      <c r="A17" s="7" t="s">
        <v>124</v>
      </c>
      <c r="F17" s="42"/>
    </row>
    <row r="18" spans="1:7" x14ac:dyDescent="0.4">
      <c r="A18" s="7" t="s">
        <v>125</v>
      </c>
    </row>
    <row r="19" spans="1:7" x14ac:dyDescent="0.4">
      <c r="B19" s="2" t="s">
        <v>18</v>
      </c>
    </row>
    <row r="20" spans="1:7" x14ac:dyDescent="0.4">
      <c r="B20" s="2" t="s">
        <v>19</v>
      </c>
    </row>
    <row r="23" spans="1:7" s="43" customFormat="1" ht="15.6" thickBot="1" x14ac:dyDescent="0.3"/>
    <row r="26" spans="1:7" x14ac:dyDescent="0.4">
      <c r="A26" s="41" t="s">
        <v>20</v>
      </c>
      <c r="B26" s="41" t="s">
        <v>21</v>
      </c>
      <c r="C26" s="41" t="s">
        <v>22</v>
      </c>
      <c r="D26" s="41" t="s">
        <v>23</v>
      </c>
      <c r="E26" s="51" t="s">
        <v>135</v>
      </c>
    </row>
    <row r="27" spans="1:7" x14ac:dyDescent="0.4">
      <c r="A27" s="3" t="s">
        <v>30</v>
      </c>
      <c r="B27" s="3" t="s">
        <v>31</v>
      </c>
      <c r="C27" s="3" t="s">
        <v>31</v>
      </c>
      <c r="D27" s="3"/>
      <c r="E27" s="44"/>
      <c r="G27" s="35"/>
    </row>
    <row r="28" spans="1:7" x14ac:dyDescent="0.4">
      <c r="A28" s="3" t="s">
        <v>24</v>
      </c>
      <c r="B28" s="3"/>
      <c r="C28" s="3"/>
      <c r="D28" s="3"/>
      <c r="E28" s="44"/>
    </row>
    <row r="29" spans="1:7" x14ac:dyDescent="0.4">
      <c r="A29" s="3" t="s">
        <v>25</v>
      </c>
      <c r="B29" s="3" t="s">
        <v>31</v>
      </c>
      <c r="C29" s="3" t="s">
        <v>31</v>
      </c>
      <c r="D29" s="3"/>
      <c r="E29" s="44"/>
    </row>
    <row r="30" spans="1:7" x14ac:dyDescent="0.4">
      <c r="A30" s="3" t="s">
        <v>26</v>
      </c>
      <c r="B30" s="3"/>
      <c r="C30" s="3"/>
      <c r="D30" s="3" t="s">
        <v>31</v>
      </c>
      <c r="E30" s="44"/>
    </row>
    <row r="31" spans="1:7" x14ac:dyDescent="0.4">
      <c r="A31" s="3" t="s">
        <v>27</v>
      </c>
      <c r="B31" s="3"/>
      <c r="C31" s="3"/>
      <c r="D31" s="3" t="s">
        <v>31</v>
      </c>
      <c r="E31" s="44"/>
    </row>
    <row r="32" spans="1:7" x14ac:dyDescent="0.4">
      <c r="A32" s="3" t="s">
        <v>28</v>
      </c>
      <c r="B32" s="3" t="s">
        <v>31</v>
      </c>
      <c r="C32" s="3"/>
      <c r="D32" s="3"/>
      <c r="E32" s="44"/>
    </row>
    <row r="33" spans="1:8" x14ac:dyDescent="0.4">
      <c r="A33" s="3" t="s">
        <v>29</v>
      </c>
      <c r="B33" s="3" t="s">
        <v>31</v>
      </c>
      <c r="C33" s="3" t="s">
        <v>32</v>
      </c>
      <c r="D33" s="3" t="s">
        <v>31</v>
      </c>
      <c r="E33" s="44"/>
    </row>
    <row r="35" spans="1:8" x14ac:dyDescent="0.4">
      <c r="A35" s="2" t="s">
        <v>107</v>
      </c>
    </row>
    <row r="36" spans="1:8" x14ac:dyDescent="0.4">
      <c r="B36" s="2" t="s">
        <v>120</v>
      </c>
    </row>
    <row r="37" spans="1:8" x14ac:dyDescent="0.4">
      <c r="B37" s="2" t="s">
        <v>121</v>
      </c>
    </row>
    <row r="38" spans="1:8" x14ac:dyDescent="0.4">
      <c r="B38" s="2" t="s">
        <v>122</v>
      </c>
    </row>
    <row r="40" spans="1:8" s="43" customFormat="1" ht="15.6" thickBot="1" x14ac:dyDescent="0.3"/>
    <row r="42" spans="1:8" x14ac:dyDescent="0.4">
      <c r="A42" s="2" t="s">
        <v>15</v>
      </c>
    </row>
    <row r="43" spans="1:8" x14ac:dyDescent="0.4">
      <c r="A43" s="2" t="s">
        <v>16</v>
      </c>
    </row>
    <row r="45" spans="1:8" x14ac:dyDescent="0.4">
      <c r="A45" s="41" t="s">
        <v>0</v>
      </c>
      <c r="B45" s="41" t="s">
        <v>1</v>
      </c>
      <c r="C45" s="41" t="s">
        <v>2</v>
      </c>
      <c r="D45" s="41" t="s">
        <v>114</v>
      </c>
      <c r="E45" s="41" t="s">
        <v>100</v>
      </c>
    </row>
    <row r="46" spans="1:8" x14ac:dyDescent="0.4">
      <c r="A46" s="46" t="s">
        <v>3</v>
      </c>
      <c r="B46" s="49">
        <v>12568</v>
      </c>
      <c r="C46" s="50">
        <v>0.23</v>
      </c>
      <c r="D46" s="46" t="s">
        <v>12</v>
      </c>
      <c r="E46" s="44"/>
    </row>
    <row r="47" spans="1:8" x14ac:dyDescent="0.4">
      <c r="A47" s="46" t="s">
        <v>4</v>
      </c>
      <c r="B47" s="49">
        <v>2356</v>
      </c>
      <c r="C47" s="50">
        <v>0.25</v>
      </c>
      <c r="D47" s="46" t="s">
        <v>13</v>
      </c>
      <c r="E47" s="44"/>
      <c r="G47" s="41" t="s">
        <v>119</v>
      </c>
      <c r="H47" s="41" t="s">
        <v>118</v>
      </c>
    </row>
    <row r="48" spans="1:8" x14ac:dyDescent="0.4">
      <c r="A48" s="46" t="s">
        <v>5</v>
      </c>
      <c r="B48" s="49">
        <v>4588</v>
      </c>
      <c r="C48" s="50">
        <v>0.36</v>
      </c>
      <c r="D48" s="46" t="s">
        <v>12</v>
      </c>
      <c r="E48" s="44"/>
      <c r="G48" s="40"/>
      <c r="H48" s="33"/>
    </row>
    <row r="49" spans="1:8" x14ac:dyDescent="0.4">
      <c r="A49" s="46" t="s">
        <v>6</v>
      </c>
      <c r="B49" s="49">
        <v>9522</v>
      </c>
      <c r="C49" s="50">
        <v>0.14000000000000001</v>
      </c>
      <c r="D49" s="46" t="s">
        <v>14</v>
      </c>
      <c r="E49" s="44"/>
    </row>
    <row r="50" spans="1:8" x14ac:dyDescent="0.4">
      <c r="A50" s="46" t="s">
        <v>7</v>
      </c>
      <c r="B50" s="49">
        <v>12544</v>
      </c>
      <c r="C50" s="50">
        <v>0.18</v>
      </c>
      <c r="D50" s="46" t="s">
        <v>12</v>
      </c>
      <c r="E50" s="44"/>
      <c r="G50" s="17">
        <v>1</v>
      </c>
      <c r="H50" s="17">
        <v>2</v>
      </c>
    </row>
    <row r="51" spans="1:8" x14ac:dyDescent="0.4">
      <c r="A51" s="46" t="s">
        <v>8</v>
      </c>
      <c r="B51" s="49">
        <v>1020</v>
      </c>
      <c r="C51" s="50">
        <v>0.6</v>
      </c>
      <c r="D51" s="46" t="s">
        <v>14</v>
      </c>
      <c r="E51" s="44"/>
      <c r="G51" s="18" t="s">
        <v>12</v>
      </c>
      <c r="H51" s="48" t="s">
        <v>101</v>
      </c>
    </row>
    <row r="52" spans="1:8" x14ac:dyDescent="0.4">
      <c r="A52" s="46" t="s">
        <v>9</v>
      </c>
      <c r="B52" s="49">
        <v>15402</v>
      </c>
      <c r="C52" s="50">
        <v>0.27</v>
      </c>
      <c r="D52" s="46" t="s">
        <v>12</v>
      </c>
      <c r="E52" s="44"/>
      <c r="G52" s="18" t="s">
        <v>13</v>
      </c>
      <c r="H52" s="48" t="s">
        <v>102</v>
      </c>
    </row>
    <row r="53" spans="1:8" x14ac:dyDescent="0.4">
      <c r="A53" s="46" t="s">
        <v>10</v>
      </c>
      <c r="B53" s="49">
        <v>6598</v>
      </c>
      <c r="C53" s="50">
        <v>0.78</v>
      </c>
      <c r="D53" s="46" t="s">
        <v>13</v>
      </c>
      <c r="E53" s="44"/>
      <c r="G53" s="18" t="s">
        <v>14</v>
      </c>
      <c r="H53" s="48" t="s">
        <v>103</v>
      </c>
    </row>
    <row r="54" spans="1:8" x14ac:dyDescent="0.4">
      <c r="A54" s="46" t="s">
        <v>11</v>
      </c>
      <c r="B54" s="49">
        <v>8787</v>
      </c>
      <c r="C54" s="50">
        <v>1.02</v>
      </c>
      <c r="D54" s="46" t="s">
        <v>13</v>
      </c>
      <c r="E54" s="44"/>
    </row>
    <row r="56" spans="1:8" x14ac:dyDescent="0.4">
      <c r="A56" s="7" t="s">
        <v>113</v>
      </c>
      <c r="F56" s="39"/>
      <c r="G56" s="36"/>
    </row>
    <row r="57" spans="1:8" x14ac:dyDescent="0.4">
      <c r="A57" s="7" t="s">
        <v>33</v>
      </c>
      <c r="F57" s="13"/>
      <c r="G57" s="7"/>
    </row>
    <row r="58" spans="1:8" x14ac:dyDescent="0.4">
      <c r="A58" s="7" t="s">
        <v>17</v>
      </c>
      <c r="F58" s="39"/>
      <c r="G58" s="36"/>
    </row>
    <row r="59" spans="1:8" x14ac:dyDescent="0.4">
      <c r="B59" s="2" t="s">
        <v>115</v>
      </c>
    </row>
    <row r="60" spans="1:8" x14ac:dyDescent="0.4">
      <c r="B60" s="2" t="s">
        <v>116</v>
      </c>
    </row>
    <row r="61" spans="1:8" x14ac:dyDescent="0.4">
      <c r="B61" s="2" t="s">
        <v>117</v>
      </c>
    </row>
  </sheetData>
  <conditionalFormatting sqref="C6:C14">
    <cfRule type="cellIs" dxfId="7" priority="2" operator="lessThan">
      <formula>0.5</formula>
    </cfRule>
  </conditionalFormatting>
  <conditionalFormatting sqref="C46:C54">
    <cfRule type="cellIs" dxfId="6" priority="4" operator="greaterThan">
      <formula>$G$48</formula>
    </cfRule>
  </conditionalFormatting>
  <pageMargins left="0.75" right="0.75" top="1" bottom="1" header="0" footer="0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3"/>
  <sheetViews>
    <sheetView topLeftCell="A64" workbookViewId="0">
      <selection activeCell="D32" sqref="D32"/>
    </sheetView>
  </sheetViews>
  <sheetFormatPr baseColWidth="10" defaultRowHeight="17.399999999999999" x14ac:dyDescent="0.4"/>
  <cols>
    <col min="1" max="1" width="14.453125" style="2" customWidth="1"/>
    <col min="2" max="2" width="14.54296875" style="2" customWidth="1"/>
    <col min="3" max="3" width="11.81640625" style="2" customWidth="1"/>
    <col min="4" max="4" width="18.26953125" style="2" customWidth="1"/>
    <col min="5" max="5" width="12.81640625" style="2" customWidth="1"/>
    <col min="6" max="6" width="15.453125" style="2" customWidth="1"/>
    <col min="7" max="7" width="13" style="2" customWidth="1"/>
    <col min="8" max="8" width="19.7265625" style="2" customWidth="1"/>
    <col min="9" max="16384" width="10.90625" style="2"/>
  </cols>
  <sheetData>
    <row r="1" spans="1:6" ht="26.4" x14ac:dyDescent="0.6">
      <c r="A1" s="26" t="s">
        <v>77</v>
      </c>
    </row>
    <row r="2" spans="1:6" ht="28.8" x14ac:dyDescent="0.65">
      <c r="B2" s="19"/>
    </row>
    <row r="3" spans="1:6" x14ac:dyDescent="0.4">
      <c r="A3" s="55" t="s">
        <v>50</v>
      </c>
    </row>
    <row r="4" spans="1:6" x14ac:dyDescent="0.4">
      <c r="A4" s="55" t="s">
        <v>51</v>
      </c>
    </row>
    <row r="6" spans="1:6" x14ac:dyDescent="0.4">
      <c r="A6" s="1" t="s">
        <v>39</v>
      </c>
      <c r="B6" s="1" t="s">
        <v>52</v>
      </c>
      <c r="C6" s="1" t="s">
        <v>138</v>
      </c>
    </row>
    <row r="7" spans="1:6" x14ac:dyDescent="0.4">
      <c r="A7" s="3">
        <v>12</v>
      </c>
      <c r="B7" s="3">
        <v>1.56</v>
      </c>
      <c r="C7" s="57" t="str">
        <f>IF(AND(A7&lt;16,B7&gt;1.8),"Volley","Entrevista")</f>
        <v>Entrevista</v>
      </c>
      <c r="D7"/>
      <c r="E7"/>
      <c r="F7"/>
    </row>
    <row r="8" spans="1:6" x14ac:dyDescent="0.4">
      <c r="A8" s="3">
        <v>14</v>
      </c>
      <c r="B8" s="3">
        <v>1.65</v>
      </c>
      <c r="C8" s="57" t="str">
        <f t="shared" ref="C8:C14" si="0">IF(AND(A8&lt;16,B8&gt;1.8),"Volley","Entrevista")</f>
        <v>Entrevista</v>
      </c>
    </row>
    <row r="9" spans="1:6" x14ac:dyDescent="0.4">
      <c r="A9" s="3">
        <v>12</v>
      </c>
      <c r="B9" s="3">
        <v>1.6</v>
      </c>
      <c r="C9" s="57" t="str">
        <f t="shared" si="0"/>
        <v>Entrevista</v>
      </c>
    </row>
    <row r="10" spans="1:6" x14ac:dyDescent="0.4">
      <c r="A10" s="3">
        <v>17</v>
      </c>
      <c r="B10" s="3">
        <v>1.95</v>
      </c>
      <c r="C10" s="57" t="str">
        <f t="shared" si="0"/>
        <v>Entrevista</v>
      </c>
    </row>
    <row r="11" spans="1:6" x14ac:dyDescent="0.4">
      <c r="A11" s="3">
        <v>18</v>
      </c>
      <c r="B11" s="3">
        <v>1.88</v>
      </c>
      <c r="C11" s="57" t="str">
        <f t="shared" si="0"/>
        <v>Entrevista</v>
      </c>
    </row>
    <row r="12" spans="1:6" x14ac:dyDescent="0.4">
      <c r="A12" s="3">
        <v>16</v>
      </c>
      <c r="B12" s="3">
        <v>1.75</v>
      </c>
      <c r="C12" s="57" t="str">
        <f t="shared" si="0"/>
        <v>Entrevista</v>
      </c>
    </row>
    <row r="13" spans="1:6" x14ac:dyDescent="0.4">
      <c r="A13" s="3">
        <v>14</v>
      </c>
      <c r="B13" s="3">
        <v>1.82</v>
      </c>
      <c r="C13" s="57" t="str">
        <f t="shared" si="0"/>
        <v>Volley</v>
      </c>
    </row>
    <row r="14" spans="1:6" x14ac:dyDescent="0.4">
      <c r="A14" s="3">
        <v>13</v>
      </c>
      <c r="B14" s="3">
        <v>1.78</v>
      </c>
      <c r="C14" s="57" t="str">
        <f t="shared" si="0"/>
        <v>Entrevista</v>
      </c>
    </row>
    <row r="16" spans="1:6" x14ac:dyDescent="0.4">
      <c r="A16" s="1" t="s">
        <v>21</v>
      </c>
      <c r="B16" s="1" t="s">
        <v>22</v>
      </c>
      <c r="C16" s="1" t="s">
        <v>136</v>
      </c>
      <c r="D16" s="1" t="s">
        <v>137</v>
      </c>
    </row>
    <row r="17" spans="1:8" x14ac:dyDescent="0.4">
      <c r="A17" s="3" t="s">
        <v>31</v>
      </c>
      <c r="B17" s="3" t="s">
        <v>31</v>
      </c>
      <c r="C17" s="56" t="b">
        <f>AND(A17="x",B17="x")</f>
        <v>1</v>
      </c>
      <c r="D17" s="56" t="b">
        <f>OR(A17="x",B17="x")</f>
        <v>1</v>
      </c>
    </row>
    <row r="18" spans="1:8" x14ac:dyDescent="0.4">
      <c r="A18" s="3" t="s">
        <v>31</v>
      </c>
      <c r="B18" s="3"/>
      <c r="C18" s="56" t="b">
        <f>AND(A18="x",B18="x")</f>
        <v>0</v>
      </c>
      <c r="D18" s="56" t="b">
        <f>OR(A18="x",B18="x")</f>
        <v>1</v>
      </c>
    </row>
    <row r="19" spans="1:8" x14ac:dyDescent="0.4">
      <c r="A19" s="3"/>
      <c r="B19" s="3" t="s">
        <v>31</v>
      </c>
      <c r="C19" s="56" t="b">
        <f>AND(A19="x",B19="x")</f>
        <v>0</v>
      </c>
      <c r="D19" s="56" t="b">
        <f>OR(A19="x",B19="x")</f>
        <v>1</v>
      </c>
    </row>
    <row r="20" spans="1:8" x14ac:dyDescent="0.4">
      <c r="A20" s="3"/>
      <c r="B20" s="3"/>
      <c r="C20" s="56" t="b">
        <f>AND(A20="x",B20="x")</f>
        <v>0</v>
      </c>
      <c r="D20" s="56" t="b">
        <f>OR(A20="x",B20="x")</f>
        <v>0</v>
      </c>
    </row>
    <row r="21" spans="1:8" x14ac:dyDescent="0.4">
      <c r="C21" s="13"/>
    </row>
    <row r="22" spans="1:8" s="58" customFormat="1" ht="18" thickBot="1" x14ac:dyDescent="0.45"/>
    <row r="24" spans="1:8" customFormat="1" ht="15" x14ac:dyDescent="0.25"/>
    <row r="25" spans="1:8" s="71" customFormat="1" x14ac:dyDescent="0.4">
      <c r="A25" s="70">
        <v>1</v>
      </c>
      <c r="B25" s="70">
        <v>2</v>
      </c>
      <c r="C25" s="70">
        <v>3</v>
      </c>
      <c r="D25" s="70">
        <v>4</v>
      </c>
      <c r="E25" s="70">
        <v>5</v>
      </c>
      <c r="F25" s="70">
        <v>6</v>
      </c>
      <c r="G25" s="70">
        <v>7</v>
      </c>
      <c r="H25" s="70">
        <v>8</v>
      </c>
    </row>
    <row r="26" spans="1:8" x14ac:dyDescent="0.4">
      <c r="A26" s="41" t="s">
        <v>37</v>
      </c>
      <c r="B26" s="41" t="s">
        <v>38</v>
      </c>
      <c r="C26" s="41" t="s">
        <v>39</v>
      </c>
      <c r="D26" s="41" t="s">
        <v>139</v>
      </c>
      <c r="E26" s="51" t="s">
        <v>41</v>
      </c>
      <c r="F26" s="51" t="s">
        <v>73</v>
      </c>
      <c r="G26" s="51" t="s">
        <v>104</v>
      </c>
      <c r="H26" s="51" t="s">
        <v>148</v>
      </c>
    </row>
    <row r="27" spans="1:8" x14ac:dyDescent="0.4">
      <c r="A27" s="3">
        <v>1255</v>
      </c>
      <c r="B27" s="9" t="s">
        <v>42</v>
      </c>
      <c r="C27" s="3">
        <v>11</v>
      </c>
      <c r="D27" s="3">
        <v>0</v>
      </c>
      <c r="E27" s="3">
        <v>1</v>
      </c>
      <c r="F27" s="3" t="s">
        <v>74</v>
      </c>
      <c r="G27" s="62"/>
      <c r="H27" s="62"/>
    </row>
    <row r="28" spans="1:8" x14ac:dyDescent="0.4">
      <c r="A28" s="3">
        <v>2148</v>
      </c>
      <c r="B28" s="9" t="s">
        <v>43</v>
      </c>
      <c r="C28" s="3">
        <v>18</v>
      </c>
      <c r="D28" s="3">
        <v>0</v>
      </c>
      <c r="E28" s="3">
        <v>5</v>
      </c>
      <c r="F28" s="3" t="s">
        <v>75</v>
      </c>
      <c r="G28" s="62"/>
      <c r="H28" s="62"/>
    </row>
    <row r="29" spans="1:8" x14ac:dyDescent="0.4">
      <c r="A29" s="3">
        <v>2365</v>
      </c>
      <c r="B29" s="9" t="s">
        <v>44</v>
      </c>
      <c r="C29" s="3">
        <v>23</v>
      </c>
      <c r="D29" s="3">
        <v>1</v>
      </c>
      <c r="E29" s="3">
        <v>6</v>
      </c>
      <c r="F29" s="3" t="s">
        <v>76</v>
      </c>
      <c r="G29" s="62"/>
      <c r="H29" s="62"/>
    </row>
    <row r="30" spans="1:8" x14ac:dyDescent="0.4">
      <c r="A30" s="3">
        <v>3255</v>
      </c>
      <c r="B30" s="9" t="s">
        <v>45</v>
      </c>
      <c r="C30" s="3">
        <v>43</v>
      </c>
      <c r="D30" s="3">
        <v>5</v>
      </c>
      <c r="E30" s="3">
        <v>3</v>
      </c>
      <c r="F30" s="3" t="s">
        <v>76</v>
      </c>
      <c r="G30" s="62"/>
      <c r="H30" s="62"/>
    </row>
    <row r="31" spans="1:8" x14ac:dyDescent="0.4">
      <c r="A31" s="3">
        <v>3654</v>
      </c>
      <c r="B31" s="9" t="s">
        <v>46</v>
      </c>
      <c r="C31" s="3">
        <v>22</v>
      </c>
      <c r="D31" s="3">
        <v>0</v>
      </c>
      <c r="E31" s="3">
        <v>1</v>
      </c>
      <c r="F31" s="3" t="s">
        <v>76</v>
      </c>
      <c r="G31" s="62"/>
      <c r="H31" s="62"/>
    </row>
    <row r="32" spans="1:8" x14ac:dyDescent="0.4">
      <c r="A32" s="3">
        <v>4578</v>
      </c>
      <c r="B32" s="9" t="s">
        <v>47</v>
      </c>
      <c r="C32" s="3">
        <v>56</v>
      </c>
      <c r="D32" s="3">
        <v>3</v>
      </c>
      <c r="E32" s="3">
        <v>20</v>
      </c>
      <c r="F32" s="3" t="s">
        <v>76</v>
      </c>
      <c r="G32" s="62"/>
      <c r="H32" s="62"/>
    </row>
    <row r="33" spans="1:8" x14ac:dyDescent="0.4">
      <c r="A33" s="3">
        <v>5967</v>
      </c>
      <c r="B33" s="9" t="s">
        <v>48</v>
      </c>
      <c r="C33" s="3">
        <v>11</v>
      </c>
      <c r="D33" s="3">
        <v>1</v>
      </c>
      <c r="E33" s="3">
        <v>2</v>
      </c>
      <c r="F33" s="3" t="s">
        <v>74</v>
      </c>
      <c r="G33" s="62"/>
      <c r="H33" s="62"/>
    </row>
    <row r="34" spans="1:8" x14ac:dyDescent="0.4">
      <c r="A34" s="3">
        <v>6685</v>
      </c>
      <c r="B34" s="9" t="s">
        <v>49</v>
      </c>
      <c r="C34" s="3">
        <v>20</v>
      </c>
      <c r="D34" s="3">
        <v>1</v>
      </c>
      <c r="E34" s="3">
        <v>12</v>
      </c>
      <c r="F34" s="3" t="s">
        <v>75</v>
      </c>
      <c r="G34" s="62"/>
      <c r="H34" s="62"/>
    </row>
    <row r="35" spans="1:8" x14ac:dyDescent="0.4">
      <c r="G35"/>
    </row>
    <row r="36" spans="1:8" x14ac:dyDescent="0.4">
      <c r="A36" s="5" t="s">
        <v>145</v>
      </c>
    </row>
    <row r="37" spans="1:8" x14ac:dyDescent="0.4">
      <c r="A37"/>
      <c r="B37"/>
      <c r="C37"/>
      <c r="D37"/>
      <c r="E37"/>
      <c r="F37"/>
    </row>
    <row r="38" spans="1:8" x14ac:dyDescent="0.4">
      <c r="A38"/>
      <c r="C38" s="41" t="s">
        <v>73</v>
      </c>
      <c r="D38" s="41" t="s">
        <v>140</v>
      </c>
      <c r="E38"/>
      <c r="F38"/>
    </row>
    <row r="39" spans="1:8" x14ac:dyDescent="0.4">
      <c r="B39" s="21" t="s">
        <v>141</v>
      </c>
      <c r="C39" s="59" t="s">
        <v>74</v>
      </c>
      <c r="D39" s="60">
        <v>15</v>
      </c>
      <c r="F39" s="13" t="s">
        <v>142</v>
      </c>
      <c r="G39" s="22" t="s">
        <v>105</v>
      </c>
      <c r="H39" s="52"/>
    </row>
    <row r="40" spans="1:8" x14ac:dyDescent="0.4">
      <c r="C40" s="59" t="s">
        <v>75</v>
      </c>
      <c r="D40" s="60">
        <v>20</v>
      </c>
      <c r="G40" s="23" t="s">
        <v>38</v>
      </c>
      <c r="H40" s="52"/>
    </row>
    <row r="41" spans="1:8" x14ac:dyDescent="0.4">
      <c r="C41" s="59" t="s">
        <v>76</v>
      </c>
      <c r="D41" s="60">
        <v>27</v>
      </c>
      <c r="G41" s="23" t="s">
        <v>143</v>
      </c>
      <c r="H41" s="61"/>
    </row>
    <row r="42" spans="1:8" x14ac:dyDescent="0.4">
      <c r="A42" s="21"/>
    </row>
    <row r="43" spans="1:8" x14ac:dyDescent="0.4">
      <c r="A43" s="21" t="s">
        <v>144</v>
      </c>
    </row>
    <row r="44" spans="1:8" x14ac:dyDescent="0.4">
      <c r="A44" s="21"/>
    </row>
    <row r="45" spans="1:8" x14ac:dyDescent="0.4">
      <c r="A45" s="21" t="s">
        <v>146</v>
      </c>
    </row>
    <row r="46" spans="1:8" x14ac:dyDescent="0.4">
      <c r="A46" s="21" t="s">
        <v>147</v>
      </c>
    </row>
    <row r="47" spans="1:8" x14ac:dyDescent="0.4">
      <c r="A47" s="21"/>
    </row>
    <row r="51" spans="1:5" s="58" customFormat="1" ht="18" thickBot="1" x14ac:dyDescent="0.45"/>
    <row r="53" spans="1:5" customFormat="1" x14ac:dyDescent="0.4">
      <c r="A53" s="41" t="s">
        <v>53</v>
      </c>
      <c r="B53" s="41" t="s">
        <v>54</v>
      </c>
      <c r="C53" s="41" t="s">
        <v>55</v>
      </c>
      <c r="D53" s="41" t="s">
        <v>66</v>
      </c>
      <c r="E53" s="41" t="s">
        <v>106</v>
      </c>
    </row>
    <row r="54" spans="1:5" ht="21" x14ac:dyDescent="0.5">
      <c r="A54" s="10" t="s">
        <v>56</v>
      </c>
      <c r="B54" s="24">
        <v>155000</v>
      </c>
      <c r="C54" s="9">
        <v>5000</v>
      </c>
      <c r="D54" s="3">
        <v>97</v>
      </c>
      <c r="E54" s="64"/>
    </row>
    <row r="55" spans="1:5" ht="21" x14ac:dyDescent="0.5">
      <c r="A55" s="10" t="s">
        <v>57</v>
      </c>
      <c r="B55" s="24">
        <v>182000</v>
      </c>
      <c r="C55" s="9">
        <v>3850</v>
      </c>
      <c r="D55" s="3">
        <v>85</v>
      </c>
      <c r="E55" s="65"/>
    </row>
    <row r="56" spans="1:5" ht="21" x14ac:dyDescent="0.5">
      <c r="A56" s="10" t="s">
        <v>58</v>
      </c>
      <c r="B56" s="24">
        <v>36000</v>
      </c>
      <c r="C56" s="9">
        <v>4850</v>
      </c>
      <c r="D56" s="3">
        <v>94</v>
      </c>
      <c r="E56" s="65"/>
    </row>
    <row r="57" spans="1:5" ht="21" x14ac:dyDescent="0.5">
      <c r="A57" s="10" t="s">
        <v>59</v>
      </c>
      <c r="B57" s="24">
        <v>21000</v>
      </c>
      <c r="C57" s="9">
        <v>4700</v>
      </c>
      <c r="D57" s="3">
        <v>97</v>
      </c>
      <c r="E57" s="65"/>
    </row>
    <row r="58" spans="1:5" ht="21" x14ac:dyDescent="0.5">
      <c r="A58" s="10" t="s">
        <v>60</v>
      </c>
      <c r="B58" s="24">
        <v>29500</v>
      </c>
      <c r="C58" s="9">
        <v>2850</v>
      </c>
      <c r="D58" s="3">
        <v>80</v>
      </c>
      <c r="E58" s="65"/>
    </row>
    <row r="59" spans="1:5" ht="21" x14ac:dyDescent="0.5">
      <c r="A59" s="10" t="s">
        <v>61</v>
      </c>
      <c r="B59" s="24">
        <v>32000</v>
      </c>
      <c r="C59" s="9">
        <v>2850</v>
      </c>
      <c r="D59" s="3">
        <v>80</v>
      </c>
      <c r="E59" s="65"/>
    </row>
    <row r="60" spans="1:5" ht="21" x14ac:dyDescent="0.5">
      <c r="A60" s="10" t="s">
        <v>62</v>
      </c>
      <c r="B60" s="24">
        <v>45000</v>
      </c>
      <c r="C60" s="9">
        <v>3200</v>
      </c>
      <c r="D60" s="3">
        <v>85</v>
      </c>
      <c r="E60" s="65"/>
    </row>
    <row r="61" spans="1:5" ht="21" x14ac:dyDescent="0.5">
      <c r="A61" s="10" t="s">
        <v>63</v>
      </c>
      <c r="B61" s="24">
        <v>56000</v>
      </c>
      <c r="C61" s="9">
        <v>3000</v>
      </c>
      <c r="D61" s="3">
        <v>83</v>
      </c>
      <c r="E61" s="65"/>
    </row>
    <row r="62" spans="1:5" ht="21" x14ac:dyDescent="0.5">
      <c r="A62" s="10" t="s">
        <v>64</v>
      </c>
      <c r="B62" s="24">
        <v>88000</v>
      </c>
      <c r="C62" s="9">
        <v>4500</v>
      </c>
      <c r="D62" s="3">
        <v>89</v>
      </c>
      <c r="E62" s="65"/>
    </row>
    <row r="63" spans="1:5" ht="21" x14ac:dyDescent="0.5">
      <c r="A63" s="10" t="s">
        <v>65</v>
      </c>
      <c r="B63" s="24">
        <v>100000</v>
      </c>
      <c r="C63" s="9">
        <v>3200</v>
      </c>
      <c r="D63" s="3">
        <v>80</v>
      </c>
      <c r="E63" s="65"/>
    </row>
    <row r="65" spans="1:9" x14ac:dyDescent="0.4">
      <c r="A65" s="14" t="s">
        <v>149</v>
      </c>
    </row>
    <row r="66" spans="1:9" ht="21" x14ac:dyDescent="0.5">
      <c r="A66" s="63" t="s">
        <v>150</v>
      </c>
    </row>
    <row r="67" spans="1:9" ht="21" x14ac:dyDescent="0.5">
      <c r="A67" s="63" t="s">
        <v>151</v>
      </c>
    </row>
    <row r="68" spans="1:9" ht="21" x14ac:dyDescent="0.5">
      <c r="A68" s="63" t="s">
        <v>152</v>
      </c>
    </row>
    <row r="69" spans="1:9" s="58" customFormat="1" ht="18" thickBot="1" x14ac:dyDescent="0.45"/>
    <row r="71" spans="1:9" customFormat="1" ht="21" x14ac:dyDescent="0.5">
      <c r="A71" s="68" t="s">
        <v>157</v>
      </c>
      <c r="F71" s="16"/>
    </row>
    <row r="72" spans="1:9" x14ac:dyDescent="0.4">
      <c r="A72" s="67">
        <v>1</v>
      </c>
      <c r="B72" s="67">
        <v>2</v>
      </c>
      <c r="C72" s="67">
        <v>3</v>
      </c>
      <c r="D72" s="67">
        <v>4</v>
      </c>
    </row>
    <row r="73" spans="1:9" ht="18.600000000000001" customHeight="1" x14ac:dyDescent="0.4">
      <c r="A73" s="41" t="s">
        <v>38</v>
      </c>
      <c r="B73" s="41" t="s">
        <v>37</v>
      </c>
      <c r="C73" s="41" t="s">
        <v>39</v>
      </c>
      <c r="D73" s="41" t="s">
        <v>41</v>
      </c>
      <c r="F73" s="2" t="s">
        <v>154</v>
      </c>
    </row>
    <row r="74" spans="1:9" x14ac:dyDescent="0.4">
      <c r="A74" s="9" t="s">
        <v>42</v>
      </c>
      <c r="B74" s="3">
        <v>1255</v>
      </c>
      <c r="C74" s="3">
        <v>11</v>
      </c>
      <c r="D74" s="3">
        <v>1</v>
      </c>
      <c r="F74" s="2" t="s">
        <v>153</v>
      </c>
    </row>
    <row r="75" spans="1:9" x14ac:dyDescent="0.4">
      <c r="A75" s="9" t="s">
        <v>43</v>
      </c>
      <c r="B75" s="3">
        <v>2148</v>
      </c>
      <c r="C75" s="3">
        <v>18</v>
      </c>
      <c r="D75" s="3">
        <v>5</v>
      </c>
    </row>
    <row r="76" spans="1:9" x14ac:dyDescent="0.4">
      <c r="A76" s="9" t="s">
        <v>44</v>
      </c>
      <c r="B76" s="3">
        <v>2365</v>
      </c>
      <c r="C76" s="3">
        <v>23</v>
      </c>
      <c r="D76" s="3">
        <v>6</v>
      </c>
      <c r="G76" s="22" t="s">
        <v>156</v>
      </c>
      <c r="H76" s="52"/>
      <c r="I76" s="7" t="s">
        <v>155</v>
      </c>
    </row>
    <row r="77" spans="1:9" x14ac:dyDescent="0.4">
      <c r="A77" s="9" t="s">
        <v>45</v>
      </c>
      <c r="B77" s="3">
        <v>3255</v>
      </c>
      <c r="C77" s="3">
        <v>43</v>
      </c>
      <c r="D77" s="3">
        <v>3</v>
      </c>
      <c r="F77" s="25">
        <v>1</v>
      </c>
      <c r="G77" s="69" t="s">
        <v>67</v>
      </c>
      <c r="H77" s="52"/>
    </row>
    <row r="78" spans="1:9" x14ac:dyDescent="0.4">
      <c r="A78" s="9" t="s">
        <v>46</v>
      </c>
      <c r="B78" s="3">
        <v>3654</v>
      </c>
      <c r="C78" s="3">
        <v>22</v>
      </c>
      <c r="D78" s="3">
        <v>1</v>
      </c>
      <c r="F78" s="25">
        <v>2</v>
      </c>
      <c r="G78" s="66" t="s">
        <v>68</v>
      </c>
      <c r="H78" s="52"/>
    </row>
    <row r="79" spans="1:9" x14ac:dyDescent="0.4">
      <c r="A79" s="9" t="s">
        <v>47</v>
      </c>
      <c r="B79" s="3">
        <v>4578</v>
      </c>
      <c r="C79" s="3">
        <v>56</v>
      </c>
      <c r="D79" s="3">
        <v>20</v>
      </c>
      <c r="F79" s="25">
        <v>3</v>
      </c>
      <c r="G79" s="66" t="s">
        <v>69</v>
      </c>
      <c r="H79" s="52"/>
    </row>
    <row r="80" spans="1:9" x14ac:dyDescent="0.4">
      <c r="A80" s="20" t="s">
        <v>48</v>
      </c>
      <c r="B80" s="4">
        <v>5967</v>
      </c>
      <c r="C80" s="4">
        <v>11</v>
      </c>
      <c r="D80" s="3">
        <v>2</v>
      </c>
      <c r="F80" s="25">
        <v>4</v>
      </c>
      <c r="G80" s="66" t="s">
        <v>70</v>
      </c>
      <c r="H80" s="52"/>
    </row>
    <row r="81" spans="1:8" x14ac:dyDescent="0.4">
      <c r="A81" s="9" t="s">
        <v>49</v>
      </c>
      <c r="B81" s="3">
        <v>6685</v>
      </c>
      <c r="C81" s="3">
        <v>29</v>
      </c>
      <c r="D81" s="3">
        <v>12</v>
      </c>
      <c r="F81" s="25">
        <v>5</v>
      </c>
      <c r="G81" s="66" t="s">
        <v>71</v>
      </c>
      <c r="H81" s="52"/>
    </row>
    <row r="82" spans="1:8" x14ac:dyDescent="0.4">
      <c r="F82" s="25">
        <v>6</v>
      </c>
      <c r="G82" s="66" t="s">
        <v>72</v>
      </c>
      <c r="H82" s="52"/>
    </row>
    <row r="83" spans="1:8" x14ac:dyDescent="0.4">
      <c r="A83" s="68" t="s">
        <v>158</v>
      </c>
    </row>
    <row r="84" spans="1:8" x14ac:dyDescent="0.4">
      <c r="A84" s="67">
        <v>1</v>
      </c>
      <c r="B84" s="67">
        <v>2</v>
      </c>
      <c r="C84" s="67">
        <v>3</v>
      </c>
      <c r="D84" s="67">
        <v>4</v>
      </c>
      <c r="E84" s="67">
        <v>5</v>
      </c>
      <c r="F84" s="67">
        <v>6</v>
      </c>
    </row>
    <row r="85" spans="1:8" ht="19.8" customHeight="1" x14ac:dyDescent="0.4">
      <c r="A85" s="41" t="s">
        <v>67</v>
      </c>
      <c r="B85" s="41" t="s">
        <v>68</v>
      </c>
      <c r="C85" s="41" t="s">
        <v>69</v>
      </c>
      <c r="D85" s="41" t="s">
        <v>70</v>
      </c>
      <c r="E85" s="41" t="s">
        <v>71</v>
      </c>
      <c r="F85" s="41" t="s">
        <v>72</v>
      </c>
    </row>
    <row r="86" spans="1:8" x14ac:dyDescent="0.4">
      <c r="A86" s="3">
        <v>1255</v>
      </c>
      <c r="B86" s="3" t="s">
        <v>31</v>
      </c>
      <c r="C86" s="3" t="s">
        <v>31</v>
      </c>
      <c r="D86" s="3" t="s">
        <v>31</v>
      </c>
      <c r="E86" s="3"/>
      <c r="F86" s="3"/>
    </row>
    <row r="87" spans="1:8" x14ac:dyDescent="0.4">
      <c r="A87" s="3">
        <v>2148</v>
      </c>
      <c r="B87" s="3"/>
      <c r="C87" s="3" t="s">
        <v>31</v>
      </c>
      <c r="D87" s="3" t="s">
        <v>31</v>
      </c>
      <c r="E87" s="3"/>
      <c r="F87" s="3"/>
    </row>
    <row r="88" spans="1:8" x14ac:dyDescent="0.4">
      <c r="A88" s="3">
        <v>2365</v>
      </c>
      <c r="B88" s="3" t="s">
        <v>31</v>
      </c>
      <c r="C88" s="3"/>
      <c r="D88" s="3"/>
      <c r="E88" s="3" t="s">
        <v>31</v>
      </c>
      <c r="F88" s="3"/>
    </row>
    <row r="89" spans="1:8" x14ac:dyDescent="0.4">
      <c r="A89" s="3">
        <v>3255</v>
      </c>
      <c r="B89" s="3" t="s">
        <v>31</v>
      </c>
      <c r="C89" s="3"/>
      <c r="D89" s="3" t="s">
        <v>31</v>
      </c>
      <c r="E89" s="3"/>
      <c r="F89" s="3" t="s">
        <v>31</v>
      </c>
    </row>
    <row r="90" spans="1:8" x14ac:dyDescent="0.4">
      <c r="A90" s="3">
        <v>3654</v>
      </c>
      <c r="B90" s="3"/>
      <c r="C90" s="3" t="s">
        <v>31</v>
      </c>
      <c r="D90" s="3" t="s">
        <v>31</v>
      </c>
      <c r="E90" s="3"/>
      <c r="F90" s="3"/>
    </row>
    <row r="91" spans="1:8" x14ac:dyDescent="0.4">
      <c r="A91" s="3">
        <v>4578</v>
      </c>
      <c r="B91" s="3"/>
      <c r="C91" s="3" t="s">
        <v>31</v>
      </c>
      <c r="D91" s="3"/>
      <c r="E91" s="3" t="s">
        <v>31</v>
      </c>
      <c r="F91" s="3" t="s">
        <v>31</v>
      </c>
    </row>
    <row r="92" spans="1:8" x14ac:dyDescent="0.4">
      <c r="A92" s="3">
        <v>5967</v>
      </c>
      <c r="B92" s="3"/>
      <c r="C92" s="3"/>
      <c r="D92" s="3" t="s">
        <v>31</v>
      </c>
      <c r="E92" s="3"/>
      <c r="F92" s="3" t="s">
        <v>31</v>
      </c>
    </row>
    <row r="93" spans="1:8" x14ac:dyDescent="0.4">
      <c r="A93" s="3">
        <v>6685</v>
      </c>
      <c r="B93" s="3" t="s">
        <v>31</v>
      </c>
      <c r="C93" s="3"/>
      <c r="D93" s="3" t="s">
        <v>31</v>
      </c>
      <c r="E93" s="3"/>
      <c r="F93" s="3"/>
    </row>
  </sheetData>
  <conditionalFormatting sqref="B54:B63">
    <cfRule type="cellIs" dxfId="5" priority="4" operator="lessThan">
      <formula>40000</formula>
    </cfRule>
    <cfRule type="cellIs" dxfId="4" priority="6" operator="greaterThan">
      <formula>40000</formula>
    </cfRule>
  </conditionalFormatting>
  <conditionalFormatting sqref="C54:C63">
    <cfRule type="cellIs" dxfId="3" priority="3" operator="greaterThan">
      <formula>4000</formula>
    </cfRule>
    <cfRule type="cellIs" dxfId="2" priority="5" operator="greaterThan">
      <formula>4500</formula>
    </cfRule>
  </conditionalFormatting>
  <conditionalFormatting sqref="D54:D63">
    <cfRule type="cellIs" dxfId="1" priority="2" operator="greaterThan">
      <formula>90</formula>
    </cfRule>
  </conditionalFormatting>
  <conditionalFormatting sqref="A86:A93">
    <cfRule type="cellIs" dxfId="0" priority="9" operator="equal">
      <formula>$H$77</formula>
    </cfRule>
  </conditionalFormatting>
  <pageMargins left="0.75" right="0.75" top="1" bottom="1" header="0" footer="0"/>
  <pageSetup paperSize="5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5</vt:i4>
      </vt:variant>
    </vt:vector>
  </HeadingPairs>
  <TitlesOfParts>
    <vt:vector size="8" baseType="lpstr">
      <vt:lpstr>Si sencillos</vt:lpstr>
      <vt:lpstr>Si anidados</vt:lpstr>
      <vt:lpstr>Y - O - Buscarv</vt:lpstr>
      <vt:lpstr>actividades</vt:lpstr>
      <vt:lpstr>deudas</vt:lpstr>
      <vt:lpstr>precaucion</vt:lpstr>
      <vt:lpstr>socios</vt:lpstr>
      <vt:lpstr>socios2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GAP</dc:creator>
  <cp:lastModifiedBy>delatorrerita</cp:lastModifiedBy>
  <cp:lastPrinted>2000-11-23T11:33:21Z</cp:lastPrinted>
  <dcterms:created xsi:type="dcterms:W3CDTF">2000-07-04T09:29:16Z</dcterms:created>
  <dcterms:modified xsi:type="dcterms:W3CDTF">2026-05-12T12:49:06Z</dcterms:modified>
</cp:coreProperties>
</file>